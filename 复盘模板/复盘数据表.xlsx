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指标" sheetId="1" state="visible" r:id="rId1"/>
    <sheet name="涨停明细" sheetId="2" state="visible" r:id="rId2"/>
    <sheet name="龙头跟踪" sheetId="3" state="visible" r:id="rId3"/>
    <sheet name="情绪评分" sheetId="4" state="visible" r:id="rId4"/>
  </sheets>
  <definedNames>
    <definedName name="_xlnm._FilterDatabase" localSheetId="0" hidden="1">'每日指标'!$A$1:$T$1</definedName>
    <definedName name="_xlnm._FilterDatabase" localSheetId="1" hidden="1">'涨停明细'!$A$1:$J$1</definedName>
    <definedName name="_xlnm._FilterDatabase" localSheetId="2" hidden="1">'龙头跟踪'!$A$1:$J$1</definedName>
    <definedName name="_xlnm._FilterDatabase" localSheetId="3" hidden="1">'情绪评分'!$A$1:$P$1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4B084"/>
          <b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情绪得分趋势</a:t>
            </a:r>
          </a:p>
        </rich>
      </tx>
    </title>
    <plotArea>
      <lineChart>
        <grouping val="standard"/>
        <ser>
          <idx val="0"/>
          <order val="0"/>
          <tx>
            <strRef>
              <f>'情绪评分'!N1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'情绪评分'!$A$2:$A$4</f>
            </numRef>
          </cat>
          <val>
            <numRef>
              <f>'情绪评分'!$N$2:$N$4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情绪得分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1" customWidth="1" min="5" max="5"/>
    <col width="9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9" customWidth="1" min="14" max="14"/>
    <col width="8" customWidth="1" min="15" max="15"/>
    <col width="8" customWidth="1" min="16" max="16"/>
    <col width="9" customWidth="1" min="17" max="17"/>
    <col width="9" customWidth="1" min="18" max="18"/>
    <col width="14" customWidth="1" min="19" max="19"/>
    <col width="20" customWidth="1" min="20" max="20"/>
  </cols>
  <sheetData>
    <row r="1">
      <c r="A1" s="1" t="inlineStr">
        <is>
          <t>日期</t>
        </is>
      </c>
      <c r="B1" s="1" t="inlineStr">
        <is>
          <t>上证涨跌%</t>
        </is>
      </c>
      <c r="C1" s="1" t="inlineStr">
        <is>
          <t>创业板涨跌%</t>
        </is>
      </c>
      <c r="D1" s="1" t="inlineStr">
        <is>
          <t>成交额(亿)</t>
        </is>
      </c>
      <c r="E1" s="1" t="inlineStr">
        <is>
          <t>北向资金(亿)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涨跌比</t>
        </is>
      </c>
      <c r="I1" s="1" t="inlineStr">
        <is>
          <t>涨停数</t>
        </is>
      </c>
      <c r="J1" s="1" t="inlineStr">
        <is>
          <t>跌停数</t>
        </is>
      </c>
      <c r="K1" s="1" t="inlineStr">
        <is>
          <t>封板率%</t>
        </is>
      </c>
      <c r="L1" s="1" t="inlineStr">
        <is>
          <t>炸板数</t>
        </is>
      </c>
      <c r="M1" s="1" t="inlineStr">
        <is>
          <t>昨涨停溢价%</t>
        </is>
      </c>
      <c r="N1" s="1" t="inlineStr">
        <is>
          <t>最高连板</t>
        </is>
      </c>
      <c r="O1" s="1" t="inlineStr">
        <is>
          <t>2板家数</t>
        </is>
      </c>
      <c r="P1" s="1" t="inlineStr">
        <is>
          <t>3板家数</t>
        </is>
      </c>
      <c r="Q1" s="1" t="inlineStr">
        <is>
          <t>4板+家数</t>
        </is>
      </c>
      <c r="R1" s="1" t="inlineStr">
        <is>
          <t>情绪得分</t>
        </is>
      </c>
      <c r="S1" s="1" t="inlineStr">
        <is>
          <t>情绪周期</t>
        </is>
      </c>
      <c r="T1" s="1" t="inlineStr">
        <is>
          <t>备注</t>
        </is>
      </c>
    </row>
    <row r="2">
      <c r="A2" s="2" t="inlineStr">
        <is>
          <t>2026-02-23</t>
        </is>
      </c>
      <c r="B2" s="2" t="n">
        <v>-1.52</v>
      </c>
      <c r="C2" s="2" t="n">
        <v>-2.34</v>
      </c>
      <c r="D2" s="2" t="n">
        <v>7850</v>
      </c>
      <c r="E2" s="2" t="n">
        <v>-68</v>
      </c>
      <c r="F2" s="2" t="n">
        <v>1023</v>
      </c>
      <c r="G2" s="2" t="n">
        <v>3856</v>
      </c>
      <c r="H2" s="3">
        <f>F2/G2</f>
        <v/>
      </c>
      <c r="I2" s="2" t="n">
        <v>18</v>
      </c>
      <c r="J2" s="2" t="n">
        <v>35</v>
      </c>
      <c r="K2" s="2" t="n">
        <v>38</v>
      </c>
      <c r="L2" s="2" t="n">
        <v>12</v>
      </c>
      <c r="M2" s="2" t="n">
        <v>-5.8</v>
      </c>
      <c r="N2" s="2" t="n">
        <v>2</v>
      </c>
      <c r="O2" s="2" t="n">
        <v>3</v>
      </c>
      <c r="P2" s="2" t="n">
        <v>0</v>
      </c>
      <c r="Q2" s="2" t="n">
        <v>0</v>
      </c>
      <c r="R2" s="2">
        <f>'情绪评分'!N2</f>
        <v/>
      </c>
      <c r="S2" s="2">
        <f>'情绪评分'!O2</f>
        <v/>
      </c>
      <c r="T2" s="2" t="inlineStr"/>
    </row>
    <row r="3">
      <c r="A3" s="2" t="inlineStr">
        <is>
          <t>2026-02-24</t>
        </is>
      </c>
      <c r="B3" s="2" t="n">
        <v>0.85</v>
      </c>
      <c r="C3" s="2" t="n">
        <v>1.12</v>
      </c>
      <c r="D3" s="2" t="n">
        <v>9200</v>
      </c>
      <c r="E3" s="2" t="n">
        <v>42</v>
      </c>
      <c r="F3" s="2" t="n">
        <v>3200</v>
      </c>
      <c r="G3" s="2" t="n">
        <v>1680</v>
      </c>
      <c r="H3" s="3">
        <f>F3/G3</f>
        <v/>
      </c>
      <c r="I3" s="2" t="n">
        <v>55</v>
      </c>
      <c r="J3" s="2" t="n">
        <v>8</v>
      </c>
      <c r="K3" s="2" t="n">
        <v>62</v>
      </c>
      <c r="L3" s="2" t="n">
        <v>8</v>
      </c>
      <c r="M3" s="2" t="n">
        <v>1.5</v>
      </c>
      <c r="N3" s="2" t="n">
        <v>3</v>
      </c>
      <c r="O3" s="2" t="n">
        <v>8</v>
      </c>
      <c r="P3" s="2" t="n">
        <v>2</v>
      </c>
      <c r="Q3" s="2" t="n">
        <v>0</v>
      </c>
      <c r="R3" s="2">
        <f>'情绪评分'!N3</f>
        <v/>
      </c>
      <c r="S3" s="2">
        <f>'情绪评分'!O3</f>
        <v/>
      </c>
      <c r="T3" s="2" t="inlineStr"/>
    </row>
    <row r="4">
      <c r="A4" s="2" t="inlineStr">
        <is>
          <t>2026-02-25</t>
        </is>
      </c>
      <c r="B4" s="2" t="n">
        <v>1.68</v>
      </c>
      <c r="C4" s="2" t="n">
        <v>2.45</v>
      </c>
      <c r="D4" s="2" t="n">
        <v>12500</v>
      </c>
      <c r="E4" s="2" t="n">
        <v>95</v>
      </c>
      <c r="F4" s="2" t="n">
        <v>4100</v>
      </c>
      <c r="G4" s="2" t="n">
        <v>820</v>
      </c>
      <c r="H4" s="3">
        <f>F4/G4</f>
        <v/>
      </c>
      <c r="I4" s="2" t="n">
        <v>98</v>
      </c>
      <c r="J4" s="2" t="n">
        <v>2</v>
      </c>
      <c r="K4" s="2" t="n">
        <v>78</v>
      </c>
      <c r="L4" s="2" t="n">
        <v>5</v>
      </c>
      <c r="M4" s="2" t="n">
        <v>4.2</v>
      </c>
      <c r="N4" s="2" t="n">
        <v>5</v>
      </c>
      <c r="O4" s="2" t="n">
        <v>12</v>
      </c>
      <c r="P4" s="2" t="n">
        <v>5</v>
      </c>
      <c r="Q4" s="2" t="n">
        <v>3</v>
      </c>
      <c r="R4" s="2">
        <f>'情绪评分'!N4</f>
        <v/>
      </c>
      <c r="S4" s="2">
        <f>'情绪评分'!O4</f>
        <v/>
      </c>
      <c r="T4" s="2" t="inlineStr"/>
    </row>
  </sheetData>
  <autoFilter ref="A1:T1"/>
  <conditionalFormatting sqref="R2:R104">
    <cfRule type="cellIs" priority="1" operator="lessThan" dxfId="0">
      <formula>3</formula>
    </cfRule>
    <cfRule type="cellIs" priority="2" operator="between" dxfId="1">
      <formula>5</formula>
      <formula>7</formula>
    </cfRule>
    <cfRule type="cellIs" priority="3" operator="between" dxfId="2">
      <formula>7</formula>
      <formula>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4" customWidth="1" min="5" max="5"/>
    <col width="10" customWidth="1" min="6" max="6"/>
    <col width="11" customWidth="1" min="7" max="7"/>
    <col width="9" customWidth="1" min="8" max="8"/>
    <col width="10" customWidth="1" min="9" max="9"/>
    <col width="20" customWidth="1" min="10" max="10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连板数</t>
        </is>
      </c>
      <c r="E1" s="1" t="inlineStr">
        <is>
          <t>所属题材</t>
        </is>
      </c>
      <c r="F1" s="1" t="inlineStr">
        <is>
          <t>封板时间</t>
        </is>
      </c>
      <c r="G1" s="1" t="inlineStr">
        <is>
          <t>封单金额(亿)</t>
        </is>
      </c>
      <c r="H1" s="1" t="inlineStr">
        <is>
          <t>是否炸板</t>
        </is>
      </c>
      <c r="I1" s="1" t="inlineStr">
        <is>
          <t>最终状态</t>
        </is>
      </c>
      <c r="J1" s="1" t="inlineStr">
        <is>
          <t>备注</t>
        </is>
      </c>
    </row>
    <row r="2">
      <c r="A2" s="2" t="inlineStr">
        <is>
          <t>2026-02-23</t>
        </is>
      </c>
      <c r="B2" s="2" t="inlineStr">
        <is>
          <t>000001</t>
        </is>
      </c>
      <c r="C2" s="2" t="inlineStr">
        <is>
          <t>示例A</t>
        </is>
      </c>
      <c r="D2" s="2" t="n">
        <v>1</v>
      </c>
      <c r="E2" s="2" t="inlineStr">
        <is>
          <t>芯片半导体</t>
        </is>
      </c>
      <c r="F2" s="2" t="inlineStr">
        <is>
          <t>10:15</t>
        </is>
      </c>
      <c r="G2" s="2" t="n">
        <v>1.2</v>
      </c>
      <c r="H2" s="2" t="inlineStr">
        <is>
          <t>否</t>
        </is>
      </c>
      <c r="I2" s="2" t="inlineStr">
        <is>
          <t>封板</t>
        </is>
      </c>
      <c r="J2" s="2" t="inlineStr"/>
    </row>
    <row r="3">
      <c r="A3" s="2" t="inlineStr">
        <is>
          <t>2026-02-23</t>
        </is>
      </c>
      <c r="B3" s="2" t="inlineStr">
        <is>
          <t>600001</t>
        </is>
      </c>
      <c r="C3" s="2" t="inlineStr">
        <is>
          <t>示例B</t>
        </is>
      </c>
      <c r="D3" s="2" t="n">
        <v>2</v>
      </c>
      <c r="E3" s="2" t="inlineStr">
        <is>
          <t>人工智能</t>
        </is>
      </c>
      <c r="F3" s="2" t="inlineStr">
        <is>
          <t>09:35</t>
        </is>
      </c>
      <c r="G3" s="2" t="n">
        <v>3.5</v>
      </c>
      <c r="H3" s="2" t="inlineStr">
        <is>
          <t>否</t>
        </is>
      </c>
      <c r="I3" s="2" t="inlineStr">
        <is>
          <t>封板</t>
        </is>
      </c>
      <c r="J3" s="2" t="inlineStr">
        <is>
          <t>2连板</t>
        </is>
      </c>
    </row>
    <row r="4">
      <c r="A4" s="2" t="inlineStr">
        <is>
          <t>2026-02-23</t>
        </is>
      </c>
      <c r="B4" s="2" t="inlineStr">
        <is>
          <t>300001</t>
        </is>
      </c>
      <c r="C4" s="2" t="inlineStr">
        <is>
          <t>示例C</t>
        </is>
      </c>
      <c r="D4" s="2" t="n">
        <v>1</v>
      </c>
      <c r="E4" s="2" t="inlineStr">
        <is>
          <t>机器人</t>
        </is>
      </c>
      <c r="F4" s="2" t="inlineStr">
        <is>
          <t>13:42</t>
        </is>
      </c>
      <c r="G4" s="2" t="n">
        <v>0.8</v>
      </c>
      <c r="H4" s="2" t="inlineStr">
        <is>
          <t>是</t>
        </is>
      </c>
      <c r="I4" s="2" t="inlineStr">
        <is>
          <t>炸板回封</t>
        </is>
      </c>
      <c r="J4" s="2" t="inlineStr">
        <is>
          <t>尾盘回封</t>
        </is>
      </c>
    </row>
    <row r="5">
      <c r="A5" s="2" t="inlineStr">
        <is>
          <t>2026-02-24</t>
        </is>
      </c>
      <c r="B5" s="2" t="inlineStr">
        <is>
          <t>600001</t>
        </is>
      </c>
      <c r="C5" s="2" t="inlineStr">
        <is>
          <t>示例B</t>
        </is>
      </c>
      <c r="D5" s="2" t="n">
        <v>3</v>
      </c>
      <c r="E5" s="2" t="inlineStr">
        <is>
          <t>人工智能</t>
        </is>
      </c>
      <c r="F5" s="2" t="inlineStr">
        <is>
          <t>09:42</t>
        </is>
      </c>
      <c r="G5" s="2" t="n">
        <v>5.2</v>
      </c>
      <c r="H5" s="2" t="inlineStr">
        <is>
          <t>否</t>
        </is>
      </c>
      <c r="I5" s="2" t="inlineStr">
        <is>
          <t>封板</t>
        </is>
      </c>
      <c r="J5" s="2" t="inlineStr">
        <is>
          <t>3连板晋级</t>
        </is>
      </c>
    </row>
    <row r="6">
      <c r="A6" s="2" t="inlineStr">
        <is>
          <t>2026-02-24</t>
        </is>
      </c>
      <c r="B6" s="2" t="inlineStr">
        <is>
          <t>000002</t>
        </is>
      </c>
      <c r="C6" s="2" t="inlineStr">
        <is>
          <t>示例D</t>
        </is>
      </c>
      <c r="D6" s="2" t="n">
        <v>1</v>
      </c>
      <c r="E6" s="2" t="inlineStr">
        <is>
          <t>人工智能</t>
        </is>
      </c>
      <c r="F6" s="2" t="inlineStr">
        <is>
          <t>10:05</t>
        </is>
      </c>
      <c r="G6" s="2" t="n">
        <v>1.8</v>
      </c>
      <c r="H6" s="2" t="inlineStr">
        <is>
          <t>否</t>
        </is>
      </c>
      <c r="I6" s="2" t="inlineStr">
        <is>
          <t>封板</t>
        </is>
      </c>
      <c r="J6" s="2" t="inlineStr">
        <is>
          <t>跟风</t>
        </is>
      </c>
    </row>
    <row r="7">
      <c r="A7" s="2" t="inlineStr">
        <is>
          <t>2026-02-24</t>
        </is>
      </c>
      <c r="B7" s="2" t="inlineStr">
        <is>
          <t>300002</t>
        </is>
      </c>
      <c r="C7" s="2" t="inlineStr">
        <is>
          <t>示例E</t>
        </is>
      </c>
      <c r="D7" s="2" t="n">
        <v>2</v>
      </c>
      <c r="E7" s="2" t="inlineStr">
        <is>
          <t>机器人</t>
        </is>
      </c>
      <c r="F7" s="2" t="inlineStr">
        <is>
          <t>09:55</t>
        </is>
      </c>
      <c r="G7" s="2" t="n">
        <v>2.1</v>
      </c>
      <c r="H7" s="2" t="inlineStr">
        <is>
          <t>否</t>
        </is>
      </c>
      <c r="I7" s="2" t="inlineStr">
        <is>
          <t>封板</t>
        </is>
      </c>
      <c r="J7" s="2" t="inlineStr"/>
    </row>
    <row r="8">
      <c r="A8" s="2" t="inlineStr">
        <is>
          <t>2026-02-24</t>
        </is>
      </c>
      <c r="B8" s="2" t="inlineStr">
        <is>
          <t>600002</t>
        </is>
      </c>
      <c r="C8" s="2" t="inlineStr">
        <is>
          <t>示例F</t>
        </is>
      </c>
      <c r="D8" s="2" t="n">
        <v>1</v>
      </c>
      <c r="E8" s="2" t="inlineStr">
        <is>
          <t>低空经济</t>
        </is>
      </c>
      <c r="F8" s="2" t="inlineStr">
        <is>
          <t>14:10</t>
        </is>
      </c>
      <c r="G8" s="2" t="n">
        <v>0.6</v>
      </c>
      <c r="H8" s="2" t="inlineStr">
        <is>
          <t>是</t>
        </is>
      </c>
      <c r="I8" s="2" t="inlineStr">
        <is>
          <t>炸板</t>
        </is>
      </c>
      <c r="J8" s="2" t="inlineStr">
        <is>
          <t>封不住</t>
        </is>
      </c>
    </row>
    <row r="9">
      <c r="A9" s="2" t="inlineStr">
        <is>
          <t>2026-02-25</t>
        </is>
      </c>
      <c r="B9" s="2" t="inlineStr">
        <is>
          <t>600001</t>
        </is>
      </c>
      <c r="C9" s="2" t="inlineStr">
        <is>
          <t>示例B</t>
        </is>
      </c>
      <c r="D9" s="2" t="n">
        <v>5</v>
      </c>
      <c r="E9" s="2" t="inlineStr">
        <is>
          <t>人工智能</t>
        </is>
      </c>
      <c r="F9" s="2" t="inlineStr">
        <is>
          <t>09:25</t>
        </is>
      </c>
      <c r="G9" s="2" t="n">
        <v>8.6</v>
      </c>
      <c r="H9" s="2" t="inlineStr">
        <is>
          <t>否</t>
        </is>
      </c>
      <c r="I9" s="2" t="inlineStr">
        <is>
          <t>封板</t>
        </is>
      </c>
      <c r="J9" s="2" t="inlineStr">
        <is>
          <t>一字板5连板</t>
        </is>
      </c>
    </row>
    <row r="10">
      <c r="A10" s="2" t="inlineStr">
        <is>
          <t>2026-02-25</t>
        </is>
      </c>
      <c r="B10" s="2" t="inlineStr">
        <is>
          <t>300002</t>
        </is>
      </c>
      <c r="C10" s="2" t="inlineStr">
        <is>
          <t>示例E</t>
        </is>
      </c>
      <c r="D10" s="2" t="n">
        <v>3</v>
      </c>
      <c r="E10" s="2" t="inlineStr">
        <is>
          <t>机器人</t>
        </is>
      </c>
      <c r="F10" s="2" t="inlineStr">
        <is>
          <t>09:48</t>
        </is>
      </c>
      <c r="G10" s="2" t="n">
        <v>3.8</v>
      </c>
      <c r="H10" s="2" t="inlineStr">
        <is>
          <t>否</t>
        </is>
      </c>
      <c r="I10" s="2" t="inlineStr">
        <is>
          <t>封板</t>
        </is>
      </c>
      <c r="J10" s="2" t="inlineStr">
        <is>
          <t>3连板</t>
        </is>
      </c>
    </row>
    <row r="11">
      <c r="A11" s="2" t="inlineStr">
        <is>
          <t>2026-02-25</t>
        </is>
      </c>
      <c r="B11" s="2" t="inlineStr">
        <is>
          <t>000003</t>
        </is>
      </c>
      <c r="C11" s="2" t="inlineStr">
        <is>
          <t>示例G</t>
        </is>
      </c>
      <c r="D11" s="2" t="n">
        <v>2</v>
      </c>
      <c r="E11" s="2" t="inlineStr">
        <is>
          <t>低空经济</t>
        </is>
      </c>
      <c r="F11" s="2" t="inlineStr">
        <is>
          <t>10:20</t>
        </is>
      </c>
      <c r="G11" s="2" t="n">
        <v>2</v>
      </c>
      <c r="H11" s="2" t="inlineStr">
        <is>
          <t>否</t>
        </is>
      </c>
      <c r="I11" s="2" t="inlineStr">
        <is>
          <t>封板</t>
        </is>
      </c>
      <c r="J11" s="2" t="inlineStr"/>
    </row>
    <row r="12">
      <c r="A12" s="2" t="inlineStr">
        <is>
          <t>2026-02-25</t>
        </is>
      </c>
      <c r="B12" s="2" t="inlineStr">
        <is>
          <t>600003</t>
        </is>
      </c>
      <c r="C12" s="2" t="inlineStr">
        <is>
          <t>示例H</t>
        </is>
      </c>
      <c r="D12" s="2" t="n">
        <v>1</v>
      </c>
      <c r="E12" s="2" t="inlineStr">
        <is>
          <t>人工智能</t>
        </is>
      </c>
      <c r="F12" s="2" t="inlineStr">
        <is>
          <t>11:05</t>
        </is>
      </c>
      <c r="G12" s="2" t="n">
        <v>1.5</v>
      </c>
      <c r="H12" s="2" t="inlineStr">
        <is>
          <t>否</t>
        </is>
      </c>
      <c r="I12" s="2" t="inlineStr">
        <is>
          <t>封板</t>
        </is>
      </c>
      <c r="J12" s="2" t="inlineStr">
        <is>
          <t>补涨首板</t>
        </is>
      </c>
    </row>
    <row r="13">
      <c r="A13" s="2" t="inlineStr">
        <is>
          <t>2026-02-25</t>
        </is>
      </c>
      <c r="B13" s="2" t="inlineStr">
        <is>
          <t>300003</t>
        </is>
      </c>
      <c r="C13" s="2" t="inlineStr">
        <is>
          <t>示例I</t>
        </is>
      </c>
      <c r="D13" s="2" t="n">
        <v>1</v>
      </c>
      <c r="E13" s="2" t="inlineStr">
        <is>
          <t>机器人</t>
        </is>
      </c>
      <c r="F13" s="2" t="inlineStr">
        <is>
          <t>13:30</t>
        </is>
      </c>
      <c r="G13" s="2" t="n">
        <v>0.9</v>
      </c>
      <c r="H13" s="2" t="inlineStr">
        <is>
          <t>是</t>
        </is>
      </c>
      <c r="I13" s="2" t="inlineStr">
        <is>
          <t>炸板回封</t>
        </is>
      </c>
      <c r="J13" s="2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日期</t>
        </is>
      </c>
      <c r="B1" s="1" t="inlineStr">
        <is>
          <t>龙头类型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板数/涨幅</t>
        </is>
      </c>
      <c r="F1" s="1" t="inlineStr">
        <is>
          <t>所属题材</t>
        </is>
      </c>
      <c r="G1" s="1" t="inlineStr">
        <is>
          <t>当日状态</t>
        </is>
      </c>
      <c r="H1" s="1" t="inlineStr">
        <is>
          <t>次日表现</t>
        </is>
      </c>
      <c r="I1" s="1" t="inlineStr">
        <is>
          <t>周期角色</t>
        </is>
      </c>
      <c r="J1" s="1" t="inlineStr">
        <is>
          <t>备注</t>
        </is>
      </c>
    </row>
    <row r="2">
      <c r="A2" s="2" t="inlineStr">
        <is>
          <t>2026-02-23</t>
        </is>
      </c>
      <c r="B2" s="2" t="inlineStr">
        <is>
          <t>总龙头</t>
        </is>
      </c>
      <c r="C2" s="2" t="inlineStr">
        <is>
          <t>示例B</t>
        </is>
      </c>
      <c r="D2" s="2" t="inlineStr">
        <is>
          <t>600001</t>
        </is>
      </c>
      <c r="E2" s="2" t="inlineStr">
        <is>
          <t>2板</t>
        </is>
      </c>
      <c r="F2" s="2" t="inlineStr">
        <is>
          <t>人工智能</t>
        </is>
      </c>
      <c r="G2" s="2" t="inlineStr">
        <is>
          <t>分歧</t>
        </is>
      </c>
      <c r="H2" s="2" t="inlineStr"/>
      <c r="I2" s="2" t="inlineStr">
        <is>
          <t>退潮期高标</t>
        </is>
      </c>
      <c r="J2" s="2" t="inlineStr">
        <is>
          <t>市场最高板，但仅2板，情绪冰点</t>
        </is>
      </c>
    </row>
    <row r="3">
      <c r="A3" s="2" t="inlineStr">
        <is>
          <t>2026-02-24</t>
        </is>
      </c>
      <c r="B3" s="2" t="inlineStr">
        <is>
          <t>总龙头</t>
        </is>
      </c>
      <c r="C3" s="2" t="inlineStr">
        <is>
          <t>示例B</t>
        </is>
      </c>
      <c r="D3" s="2" t="inlineStr">
        <is>
          <t>600001</t>
        </is>
      </c>
      <c r="E3" s="2" t="inlineStr">
        <is>
          <t>3板</t>
        </is>
      </c>
      <c r="F3" s="2" t="inlineStr">
        <is>
          <t>人工智能</t>
        </is>
      </c>
      <c r="G3" s="2" t="inlineStr">
        <is>
          <t>加速</t>
        </is>
      </c>
      <c r="H3" s="2" t="inlineStr"/>
      <c r="I3" s="2" t="inlineStr">
        <is>
          <t>回暖龙头</t>
        </is>
      </c>
      <c r="J3" s="2" t="inlineStr">
        <is>
          <t>缩量加速，市场转暖信号</t>
        </is>
      </c>
    </row>
    <row r="4">
      <c r="A4" s="2" t="inlineStr">
        <is>
          <t>2026-02-24</t>
        </is>
      </c>
      <c r="B4" s="2" t="inlineStr">
        <is>
          <t>补涨龙</t>
        </is>
      </c>
      <c r="C4" s="2" t="inlineStr">
        <is>
          <t>示例E</t>
        </is>
      </c>
      <c r="D4" s="2" t="inlineStr">
        <is>
          <t>300002</t>
        </is>
      </c>
      <c r="E4" s="2" t="inlineStr">
        <is>
          <t>2板</t>
        </is>
      </c>
      <c r="F4" s="2" t="inlineStr">
        <is>
          <t>机器人</t>
        </is>
      </c>
      <c r="G4" s="2" t="inlineStr">
        <is>
          <t>换手</t>
        </is>
      </c>
      <c r="H4" s="2" t="inlineStr"/>
      <c r="I4" s="2" t="inlineStr">
        <is>
          <t>分支试探</t>
        </is>
      </c>
      <c r="J4" s="2" t="inlineStr">
        <is>
          <t>跨题材补涨</t>
        </is>
      </c>
    </row>
    <row r="5">
      <c r="A5" s="2" t="inlineStr">
        <is>
          <t>2026-02-25</t>
        </is>
      </c>
      <c r="B5" s="2" t="inlineStr">
        <is>
          <t>总龙头</t>
        </is>
      </c>
      <c r="C5" s="2" t="inlineStr">
        <is>
          <t>示例B</t>
        </is>
      </c>
      <c r="D5" s="2" t="inlineStr">
        <is>
          <t>600001</t>
        </is>
      </c>
      <c r="E5" s="2" t="inlineStr">
        <is>
          <t>5板</t>
        </is>
      </c>
      <c r="F5" s="2" t="inlineStr">
        <is>
          <t>人工智能</t>
        </is>
      </c>
      <c r="G5" s="2" t="inlineStr">
        <is>
          <t>加速(一字)</t>
        </is>
      </c>
      <c r="H5" s="2" t="inlineStr"/>
      <c r="I5" s="2" t="inlineStr">
        <is>
          <t>高潮龙头</t>
        </is>
      </c>
      <c r="J5" s="2" t="inlineStr">
        <is>
          <t>一字加速，带动板块整体爆发</t>
        </is>
      </c>
    </row>
    <row r="6">
      <c r="A6" s="2" t="inlineStr">
        <is>
          <t>2026-02-25</t>
        </is>
      </c>
      <c r="B6" s="2" t="inlineStr">
        <is>
          <t>补涨龙</t>
        </is>
      </c>
      <c r="C6" s="2" t="inlineStr">
        <is>
          <t>示例E</t>
        </is>
      </c>
      <c r="D6" s="2" t="inlineStr">
        <is>
          <t>300002</t>
        </is>
      </c>
      <c r="E6" s="2" t="inlineStr">
        <is>
          <t>3板</t>
        </is>
      </c>
      <c r="F6" s="2" t="inlineStr">
        <is>
          <t>机器人</t>
        </is>
      </c>
      <c r="G6" s="2" t="inlineStr">
        <is>
          <t>加速</t>
        </is>
      </c>
      <c r="H6" s="2" t="inlineStr"/>
      <c r="I6" s="2" t="inlineStr">
        <is>
          <t>分支确认</t>
        </is>
      </c>
      <c r="J6" s="2" t="inlineStr">
        <is>
          <t>跨题材补涨确认</t>
        </is>
      </c>
    </row>
    <row r="7">
      <c r="A7" s="2" t="inlineStr">
        <is>
          <t>2026-02-25</t>
        </is>
      </c>
      <c r="B7" s="2" t="inlineStr">
        <is>
          <t>卡位龙</t>
        </is>
      </c>
      <c r="C7" s="2" t="inlineStr">
        <is>
          <t>示例G</t>
        </is>
      </c>
      <c r="D7" s="2" t="inlineStr">
        <is>
          <t>000003</t>
        </is>
      </c>
      <c r="E7" s="2" t="inlineStr">
        <is>
          <t>2板</t>
        </is>
      </c>
      <c r="F7" s="2" t="inlineStr">
        <is>
          <t>低空经济</t>
        </is>
      </c>
      <c r="G7" s="2" t="inlineStr">
        <is>
          <t>换手</t>
        </is>
      </c>
      <c r="H7" s="2" t="inlineStr"/>
      <c r="I7" s="2" t="inlineStr">
        <is>
          <t>新分支</t>
        </is>
      </c>
      <c r="J7" s="2" t="inlineStr">
        <is>
          <t>低空经济新方向试探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9" customWidth="1" min="4" max="4"/>
    <col width="10" customWidth="1" min="5" max="5"/>
    <col width="12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12" customWidth="1" min="14" max="14"/>
    <col width="16" customWidth="1" min="15" max="15"/>
    <col width="20" customWidth="1" min="16" max="16"/>
  </cols>
  <sheetData>
    <row r="1">
      <c r="A1" s="1" t="inlineStr">
        <is>
          <t>日期</t>
        </is>
      </c>
      <c r="B1" s="1" t="inlineStr">
        <is>
          <t>涨停数</t>
        </is>
      </c>
      <c r="C1" s="1" t="inlineStr">
        <is>
          <t>涨停数评分</t>
        </is>
      </c>
      <c r="D1" s="1" t="inlineStr">
        <is>
          <t>封板率%</t>
        </is>
      </c>
      <c r="E1" s="1" t="inlineStr">
        <is>
          <t>封板率评分</t>
        </is>
      </c>
      <c r="F1" s="1" t="inlineStr">
        <is>
          <t>昨涨停溢价%</t>
        </is>
      </c>
      <c r="G1" s="1" t="inlineStr">
        <is>
          <t>溢价评分</t>
        </is>
      </c>
      <c r="H1" s="1" t="inlineStr">
        <is>
          <t>最高连板</t>
        </is>
      </c>
      <c r="I1" s="1" t="inlineStr">
        <is>
          <t>连板评分</t>
        </is>
      </c>
      <c r="J1" s="1" t="inlineStr">
        <is>
          <t>涨跌比</t>
        </is>
      </c>
      <c r="K1" s="1" t="inlineStr">
        <is>
          <t>涨跌比评分</t>
        </is>
      </c>
      <c r="L1" s="1" t="inlineStr">
        <is>
          <t>跌停数</t>
        </is>
      </c>
      <c r="M1" s="1" t="inlineStr">
        <is>
          <t>跌停评分</t>
        </is>
      </c>
      <c r="N1" s="1" t="inlineStr">
        <is>
          <t>情绪综合得分</t>
        </is>
      </c>
      <c r="O1" s="1" t="inlineStr">
        <is>
          <t>情绪周期</t>
        </is>
      </c>
      <c r="P1" s="1" t="inlineStr">
        <is>
          <t>仓位建议</t>
        </is>
      </c>
    </row>
    <row r="2">
      <c r="A2" s="2" t="inlineStr">
        <is>
          <t>2026-02-23</t>
        </is>
      </c>
      <c r="B2" s="2" t="n">
        <v>18</v>
      </c>
      <c r="C2" s="2">
        <f>IF(B2="","",IF(B2&lt;20,1.5,IF(B2&lt;40,3.5,IF(B2&lt;70,5.5,IF(B2&lt;100,7.5,9.5)))))</f>
        <v/>
      </c>
      <c r="D2" s="2" t="n">
        <v>38</v>
      </c>
      <c r="E2" s="2">
        <f>IF(D2="","",IF(D2&lt;40,2,IF(D2&lt;55,4.5,IF(D2&lt;70,6.5,IF(D2&lt;85,8.5,10)))))</f>
        <v/>
      </c>
      <c r="F2" s="2" t="n">
        <v>-5.8</v>
      </c>
      <c r="G2" s="2">
        <f>IF(F2="","",IF(F2&lt;-5,1,IF(F2&lt;-2,2.5,IF(F2&lt;0,4.5,IF(F2&lt;3,6.5,IF(F2&lt;6,8.5,10))))))</f>
        <v/>
      </c>
      <c r="H2" s="2" t="n">
        <v>2</v>
      </c>
      <c r="I2" s="2">
        <f>IF(H2="","",IF(H2&lt;2,1,IF(H2&lt;3,3,IF(H2&lt;4,5,IF(H2&lt;6,7,IF(H2&lt;8,8,9.5))))))</f>
        <v/>
      </c>
      <c r="J2" s="2" t="n">
        <v>0.27</v>
      </c>
      <c r="K2" s="2">
        <f>IF(J2="","",IF(J2&lt;0.3,1,IF(J2&lt;0.6,2.5,IF(J2&lt;1,4.5,IF(J2&lt;2,6.5,IF(J2&lt;3,8.5,10))))))</f>
        <v/>
      </c>
      <c r="L2" s="2" t="n">
        <v>35</v>
      </c>
      <c r="M2" s="2">
        <f>IF(L2="","",IF(L2&gt;30,1,IF(L2&gt;20,2.5,IF(L2&gt;10,4.5,IF(L2&gt;5,6.5,IF(L2&gt;0,8.5,10))))))</f>
        <v/>
      </c>
      <c r="N2" s="2">
        <f>IF(C2="","",ROUND(C2*0.15+E2*0.15+G2*0.25+I2*0.15+K2*0.15+M2*0.15,1))</f>
        <v/>
      </c>
      <c r="O2" s="2">
        <f>IF(N2="","",IF(N2&lt;3,"冰点期",IF(N2&lt;5,"退潮/修复期",IF(N2&lt;7,"回暖/上升期",IF(N2&lt;9,"高潮期","极度亢奋")))))</f>
        <v/>
      </c>
      <c r="P2" s="2">
        <f>IF(N2="","",IF(N2&lt;3,"空仓观望",IF(N2&lt;5,"1-2成试探",IF(N2&lt;7,"3-5成正常参与",IF(N2&lt;9,"5-8成积极参与","3成以下防守")))))</f>
        <v/>
      </c>
    </row>
    <row r="3">
      <c r="A3" s="2" t="inlineStr">
        <is>
          <t>2026-02-24</t>
        </is>
      </c>
      <c r="B3" s="2" t="n">
        <v>55</v>
      </c>
      <c r="C3" s="2">
        <f>IF(B3="","",IF(B3&lt;20,1.5,IF(B3&lt;40,3.5,IF(B3&lt;70,5.5,IF(B3&lt;100,7.5,9.5)))))</f>
        <v/>
      </c>
      <c r="D3" s="2" t="n">
        <v>62</v>
      </c>
      <c r="E3" s="2">
        <f>IF(D3="","",IF(D3&lt;40,2,IF(D3&lt;55,4.5,IF(D3&lt;70,6.5,IF(D3&lt;85,8.5,10)))))</f>
        <v/>
      </c>
      <c r="F3" s="2" t="n">
        <v>1.5</v>
      </c>
      <c r="G3" s="2">
        <f>IF(F3="","",IF(F3&lt;-5,1,IF(F3&lt;-2,2.5,IF(F3&lt;0,4.5,IF(F3&lt;3,6.5,IF(F3&lt;6,8.5,10))))))</f>
        <v/>
      </c>
      <c r="H3" s="2" t="n">
        <v>3</v>
      </c>
      <c r="I3" s="2">
        <f>IF(H3="","",IF(H3&lt;2,1,IF(H3&lt;3,3,IF(H3&lt;4,5,IF(H3&lt;6,7,IF(H3&lt;8,8,9.5))))))</f>
        <v/>
      </c>
      <c r="J3" s="2" t="n">
        <v>1.9</v>
      </c>
      <c r="K3" s="2">
        <f>IF(J3="","",IF(J3&lt;0.3,1,IF(J3&lt;0.6,2.5,IF(J3&lt;1,4.5,IF(J3&lt;2,6.5,IF(J3&lt;3,8.5,10))))))</f>
        <v/>
      </c>
      <c r="L3" s="2" t="n">
        <v>8</v>
      </c>
      <c r="M3" s="2">
        <f>IF(L3="","",IF(L3&gt;30,1,IF(L3&gt;20,2.5,IF(L3&gt;10,4.5,IF(L3&gt;5,6.5,IF(L3&gt;0,8.5,10))))))</f>
        <v/>
      </c>
      <c r="N3" s="2">
        <f>IF(C3="","",ROUND(C3*0.15+E3*0.15+G3*0.25+I3*0.15+K3*0.15+M3*0.15,1))</f>
        <v/>
      </c>
      <c r="O3" s="2">
        <f>IF(N3="","",IF(N3&lt;3,"冰点期",IF(N3&lt;5,"退潮/修复期",IF(N3&lt;7,"回暖/上升期",IF(N3&lt;9,"高潮期","极度亢奋")))))</f>
        <v/>
      </c>
      <c r="P3" s="2">
        <f>IF(N3="","",IF(N3&lt;3,"空仓观望",IF(N3&lt;5,"1-2成试探",IF(N3&lt;7,"3-5成正常参与",IF(N3&lt;9,"5-8成积极参与","3成以下防守")))))</f>
        <v/>
      </c>
    </row>
    <row r="4">
      <c r="A4" s="2" t="inlineStr">
        <is>
          <t>2026-02-25</t>
        </is>
      </c>
      <c r="B4" s="2" t="n">
        <v>98</v>
      </c>
      <c r="C4" s="2">
        <f>IF(B4="","",IF(B4&lt;20,1.5,IF(B4&lt;40,3.5,IF(B4&lt;70,5.5,IF(B4&lt;100,7.5,9.5)))))</f>
        <v/>
      </c>
      <c r="D4" s="2" t="n">
        <v>78</v>
      </c>
      <c r="E4" s="2">
        <f>IF(D4="","",IF(D4&lt;40,2,IF(D4&lt;55,4.5,IF(D4&lt;70,6.5,IF(D4&lt;85,8.5,10)))))</f>
        <v/>
      </c>
      <c r="F4" s="2" t="n">
        <v>4.2</v>
      </c>
      <c r="G4" s="2">
        <f>IF(F4="","",IF(F4&lt;-5,1,IF(F4&lt;-2,2.5,IF(F4&lt;0,4.5,IF(F4&lt;3,6.5,IF(F4&lt;6,8.5,10))))))</f>
        <v/>
      </c>
      <c r="H4" s="2" t="n">
        <v>5</v>
      </c>
      <c r="I4" s="2">
        <f>IF(H4="","",IF(H4&lt;2,1,IF(H4&lt;3,3,IF(H4&lt;4,5,IF(H4&lt;6,7,IF(H4&lt;8,8,9.5))))))</f>
        <v/>
      </c>
      <c r="J4" s="2" t="n">
        <v>5</v>
      </c>
      <c r="K4" s="2">
        <f>IF(J4="","",IF(J4&lt;0.3,1,IF(J4&lt;0.6,2.5,IF(J4&lt;1,4.5,IF(J4&lt;2,6.5,IF(J4&lt;3,8.5,10))))))</f>
        <v/>
      </c>
      <c r="L4" s="2" t="n">
        <v>2</v>
      </c>
      <c r="M4" s="2">
        <f>IF(L4="","",IF(L4&gt;30,1,IF(L4&gt;20,2.5,IF(L4&gt;10,4.5,IF(L4&gt;5,6.5,IF(L4&gt;0,8.5,10))))))</f>
        <v/>
      </c>
      <c r="N4" s="2">
        <f>IF(C4="","",ROUND(C4*0.15+E4*0.15+G4*0.25+I4*0.15+K4*0.15+M4*0.15,1))</f>
        <v/>
      </c>
      <c r="O4" s="2">
        <f>IF(N4="","",IF(N4&lt;3,"冰点期",IF(N4&lt;5,"退潮/修复期",IF(N4&lt;7,"回暖/上升期",IF(N4&lt;9,"高潮期","极度亢奋")))))</f>
        <v/>
      </c>
      <c r="P4" s="2">
        <f>IF(N4="","",IF(N4&lt;3,"空仓观望",IF(N4&lt;5,"1-2成试探",IF(N4&lt;7,"3-5成正常参与",IF(N4&lt;9,"5-8成积极参与","3成以下防守")))))</f>
        <v/>
      </c>
    </row>
    <row r="5">
      <c r="C5">
        <f>IF(B5="","",IF(B5&lt;20,1.5,IF(B5&lt;40,3.5,IF(B5&lt;70,5.5,IF(B5&lt;100,7.5,9.5)))))</f>
        <v/>
      </c>
      <c r="E5">
        <f>IF(D5="","",IF(D5&lt;40,2,IF(D5&lt;55,4.5,IF(D5&lt;70,6.5,IF(D5&lt;85,8.5,10)))))</f>
        <v/>
      </c>
      <c r="G5">
        <f>IF(F5="","",IF(F5&lt;-5,1,IF(F5&lt;-2,2.5,IF(F5&lt;0,4.5,IF(F5&lt;3,6.5,IF(F5&lt;6,8.5,10))))))</f>
        <v/>
      </c>
      <c r="I5">
        <f>IF(H5="","",IF(H5&lt;2,1,IF(H5&lt;3,3,IF(H5&lt;4,5,IF(H5&lt;6,7,IF(H5&lt;8,8,9.5))))))</f>
        <v/>
      </c>
      <c r="K5">
        <f>IF(J5="","",IF(J5&lt;0.3,1,IF(J5&lt;0.6,2.5,IF(J5&lt;1,4.5,IF(J5&lt;2,6.5,IF(J5&lt;3,8.5,10))))))</f>
        <v/>
      </c>
      <c r="M5">
        <f>IF(L5="","",IF(L5&gt;30,1,IF(L5&gt;20,2.5,IF(L5&gt;10,4.5,IF(L5&gt;5,6.5,IF(L5&gt;0,8.5,10))))))</f>
        <v/>
      </c>
      <c r="N5">
        <f>IF(C5="","",ROUND(C5*0.15+E5*0.15+G5*0.25+I5*0.15+K5*0.15+M5*0.15,1))</f>
        <v/>
      </c>
      <c r="O5">
        <f>IF(N5="","",IF(N5&lt;3,"冰点期",IF(N5&lt;5,"退潮/修复期",IF(N5&lt;7,"回暖/上升期",IF(N5&lt;9,"高潮期","极度亢奋")))))</f>
        <v/>
      </c>
      <c r="P5">
        <f>IF(N5="","",IF(N5&lt;3,"空仓观望",IF(N5&lt;5,"1-2成试探",IF(N5&lt;7,"3-5成正常参与",IF(N5&lt;9,"5-8成积极参与","3成以下防守")))))</f>
        <v/>
      </c>
    </row>
    <row r="6">
      <c r="C6">
        <f>IF(B6="","",IF(B6&lt;20,1.5,IF(B6&lt;40,3.5,IF(B6&lt;70,5.5,IF(B6&lt;100,7.5,9.5)))))</f>
        <v/>
      </c>
      <c r="E6">
        <f>IF(D6="","",IF(D6&lt;40,2,IF(D6&lt;55,4.5,IF(D6&lt;70,6.5,IF(D6&lt;85,8.5,10)))))</f>
        <v/>
      </c>
      <c r="G6">
        <f>IF(F6="","",IF(F6&lt;-5,1,IF(F6&lt;-2,2.5,IF(F6&lt;0,4.5,IF(F6&lt;3,6.5,IF(F6&lt;6,8.5,10))))))</f>
        <v/>
      </c>
      <c r="I6">
        <f>IF(H6="","",IF(H6&lt;2,1,IF(H6&lt;3,3,IF(H6&lt;4,5,IF(H6&lt;6,7,IF(H6&lt;8,8,9.5))))))</f>
        <v/>
      </c>
      <c r="K6">
        <f>IF(J6="","",IF(J6&lt;0.3,1,IF(J6&lt;0.6,2.5,IF(J6&lt;1,4.5,IF(J6&lt;2,6.5,IF(J6&lt;3,8.5,10))))))</f>
        <v/>
      </c>
      <c r="M6">
        <f>IF(L6="","",IF(L6&gt;30,1,IF(L6&gt;20,2.5,IF(L6&gt;10,4.5,IF(L6&gt;5,6.5,IF(L6&gt;0,8.5,10))))))</f>
        <v/>
      </c>
      <c r="N6">
        <f>IF(C6="","",ROUND(C6*0.15+E6*0.15+G6*0.25+I6*0.15+K6*0.15+M6*0.15,1))</f>
        <v/>
      </c>
      <c r="O6">
        <f>IF(N6="","",IF(N6&lt;3,"冰点期",IF(N6&lt;5,"退潮/修复期",IF(N6&lt;7,"回暖/上升期",IF(N6&lt;9,"高潮期","极度亢奋")))))</f>
        <v/>
      </c>
      <c r="P6">
        <f>IF(N6="","",IF(N6&lt;3,"空仓观望",IF(N6&lt;5,"1-2成试探",IF(N6&lt;7,"3-5成正常参与",IF(N6&lt;9,"5-8成积极参与","3成以下防守")))))</f>
        <v/>
      </c>
    </row>
    <row r="7">
      <c r="C7">
        <f>IF(B7="","",IF(B7&lt;20,1.5,IF(B7&lt;40,3.5,IF(B7&lt;70,5.5,IF(B7&lt;100,7.5,9.5)))))</f>
        <v/>
      </c>
      <c r="E7">
        <f>IF(D7="","",IF(D7&lt;40,2,IF(D7&lt;55,4.5,IF(D7&lt;70,6.5,IF(D7&lt;85,8.5,10)))))</f>
        <v/>
      </c>
      <c r="G7">
        <f>IF(F7="","",IF(F7&lt;-5,1,IF(F7&lt;-2,2.5,IF(F7&lt;0,4.5,IF(F7&lt;3,6.5,IF(F7&lt;6,8.5,10))))))</f>
        <v/>
      </c>
      <c r="I7">
        <f>IF(H7="","",IF(H7&lt;2,1,IF(H7&lt;3,3,IF(H7&lt;4,5,IF(H7&lt;6,7,IF(H7&lt;8,8,9.5))))))</f>
        <v/>
      </c>
      <c r="K7">
        <f>IF(J7="","",IF(J7&lt;0.3,1,IF(J7&lt;0.6,2.5,IF(J7&lt;1,4.5,IF(J7&lt;2,6.5,IF(J7&lt;3,8.5,10))))))</f>
        <v/>
      </c>
      <c r="M7">
        <f>IF(L7="","",IF(L7&gt;30,1,IF(L7&gt;20,2.5,IF(L7&gt;10,4.5,IF(L7&gt;5,6.5,IF(L7&gt;0,8.5,10))))))</f>
        <v/>
      </c>
      <c r="N7">
        <f>IF(C7="","",ROUND(C7*0.15+E7*0.15+G7*0.25+I7*0.15+K7*0.15+M7*0.15,1))</f>
        <v/>
      </c>
      <c r="O7">
        <f>IF(N7="","",IF(N7&lt;3,"冰点期",IF(N7&lt;5,"退潮/修复期",IF(N7&lt;7,"回暖/上升期",IF(N7&lt;9,"高潮期","极度亢奋")))))</f>
        <v/>
      </c>
      <c r="P7">
        <f>IF(N7="","",IF(N7&lt;3,"空仓观望",IF(N7&lt;5,"1-2成试探",IF(N7&lt;7,"3-5成正常参与",IF(N7&lt;9,"5-8成积极参与","3成以下防守")))))</f>
        <v/>
      </c>
    </row>
    <row r="8">
      <c r="C8">
        <f>IF(B8="","",IF(B8&lt;20,1.5,IF(B8&lt;40,3.5,IF(B8&lt;70,5.5,IF(B8&lt;100,7.5,9.5)))))</f>
        <v/>
      </c>
      <c r="E8">
        <f>IF(D8="","",IF(D8&lt;40,2,IF(D8&lt;55,4.5,IF(D8&lt;70,6.5,IF(D8&lt;85,8.5,10)))))</f>
        <v/>
      </c>
      <c r="G8">
        <f>IF(F8="","",IF(F8&lt;-5,1,IF(F8&lt;-2,2.5,IF(F8&lt;0,4.5,IF(F8&lt;3,6.5,IF(F8&lt;6,8.5,10))))))</f>
        <v/>
      </c>
      <c r="I8">
        <f>IF(H8="","",IF(H8&lt;2,1,IF(H8&lt;3,3,IF(H8&lt;4,5,IF(H8&lt;6,7,IF(H8&lt;8,8,9.5))))))</f>
        <v/>
      </c>
      <c r="K8">
        <f>IF(J8="","",IF(J8&lt;0.3,1,IF(J8&lt;0.6,2.5,IF(J8&lt;1,4.5,IF(J8&lt;2,6.5,IF(J8&lt;3,8.5,10))))))</f>
        <v/>
      </c>
      <c r="M8">
        <f>IF(L8="","",IF(L8&gt;30,1,IF(L8&gt;20,2.5,IF(L8&gt;10,4.5,IF(L8&gt;5,6.5,IF(L8&gt;0,8.5,10))))))</f>
        <v/>
      </c>
      <c r="N8">
        <f>IF(C8="","",ROUND(C8*0.15+E8*0.15+G8*0.25+I8*0.15+K8*0.15+M8*0.15,1))</f>
        <v/>
      </c>
      <c r="O8">
        <f>IF(N8="","",IF(N8&lt;3,"冰点期",IF(N8&lt;5,"退潮/修复期",IF(N8&lt;7,"回暖/上升期",IF(N8&lt;9,"高潮期","极度亢奋")))))</f>
        <v/>
      </c>
      <c r="P8">
        <f>IF(N8="","",IF(N8&lt;3,"空仓观望",IF(N8&lt;5,"1-2成试探",IF(N8&lt;7,"3-5成正常参与",IF(N8&lt;9,"5-8成积极参与","3成以下防守")))))</f>
        <v/>
      </c>
    </row>
    <row r="9">
      <c r="C9">
        <f>IF(B9="","",IF(B9&lt;20,1.5,IF(B9&lt;40,3.5,IF(B9&lt;70,5.5,IF(B9&lt;100,7.5,9.5)))))</f>
        <v/>
      </c>
      <c r="E9">
        <f>IF(D9="","",IF(D9&lt;40,2,IF(D9&lt;55,4.5,IF(D9&lt;70,6.5,IF(D9&lt;85,8.5,10)))))</f>
        <v/>
      </c>
      <c r="G9">
        <f>IF(F9="","",IF(F9&lt;-5,1,IF(F9&lt;-2,2.5,IF(F9&lt;0,4.5,IF(F9&lt;3,6.5,IF(F9&lt;6,8.5,10))))))</f>
        <v/>
      </c>
      <c r="I9">
        <f>IF(H9="","",IF(H9&lt;2,1,IF(H9&lt;3,3,IF(H9&lt;4,5,IF(H9&lt;6,7,IF(H9&lt;8,8,9.5))))))</f>
        <v/>
      </c>
      <c r="K9">
        <f>IF(J9="","",IF(J9&lt;0.3,1,IF(J9&lt;0.6,2.5,IF(J9&lt;1,4.5,IF(J9&lt;2,6.5,IF(J9&lt;3,8.5,10))))))</f>
        <v/>
      </c>
      <c r="M9">
        <f>IF(L9="","",IF(L9&gt;30,1,IF(L9&gt;20,2.5,IF(L9&gt;10,4.5,IF(L9&gt;5,6.5,IF(L9&gt;0,8.5,10))))))</f>
        <v/>
      </c>
      <c r="N9">
        <f>IF(C9="","",ROUND(C9*0.15+E9*0.15+G9*0.25+I9*0.15+K9*0.15+M9*0.15,1))</f>
        <v/>
      </c>
      <c r="O9">
        <f>IF(N9="","",IF(N9&lt;3,"冰点期",IF(N9&lt;5,"退潮/修复期",IF(N9&lt;7,"回暖/上升期",IF(N9&lt;9,"高潮期","极度亢奋")))))</f>
        <v/>
      </c>
      <c r="P9">
        <f>IF(N9="","",IF(N9&lt;3,"空仓观望",IF(N9&lt;5,"1-2成试探",IF(N9&lt;7,"3-5成正常参与",IF(N9&lt;9,"5-8成积极参与","3成以下防守")))))</f>
        <v/>
      </c>
    </row>
    <row r="10">
      <c r="C10">
        <f>IF(B10="","",IF(B10&lt;20,1.5,IF(B10&lt;40,3.5,IF(B10&lt;70,5.5,IF(B10&lt;100,7.5,9.5)))))</f>
        <v/>
      </c>
      <c r="E10">
        <f>IF(D10="","",IF(D10&lt;40,2,IF(D10&lt;55,4.5,IF(D10&lt;70,6.5,IF(D10&lt;85,8.5,10)))))</f>
        <v/>
      </c>
      <c r="G10">
        <f>IF(F10="","",IF(F10&lt;-5,1,IF(F10&lt;-2,2.5,IF(F10&lt;0,4.5,IF(F10&lt;3,6.5,IF(F10&lt;6,8.5,10))))))</f>
        <v/>
      </c>
      <c r="I10">
        <f>IF(H10="","",IF(H10&lt;2,1,IF(H10&lt;3,3,IF(H10&lt;4,5,IF(H10&lt;6,7,IF(H10&lt;8,8,9.5))))))</f>
        <v/>
      </c>
      <c r="K10">
        <f>IF(J10="","",IF(J10&lt;0.3,1,IF(J10&lt;0.6,2.5,IF(J10&lt;1,4.5,IF(J10&lt;2,6.5,IF(J10&lt;3,8.5,10))))))</f>
        <v/>
      </c>
      <c r="M10">
        <f>IF(L10="","",IF(L10&gt;30,1,IF(L10&gt;20,2.5,IF(L10&gt;10,4.5,IF(L10&gt;5,6.5,IF(L10&gt;0,8.5,10))))))</f>
        <v/>
      </c>
      <c r="N10">
        <f>IF(C10="","",ROUND(C10*0.15+E10*0.15+G10*0.25+I10*0.15+K10*0.15+M10*0.15,1))</f>
        <v/>
      </c>
      <c r="O10">
        <f>IF(N10="","",IF(N10&lt;3,"冰点期",IF(N10&lt;5,"退潮/修复期",IF(N10&lt;7,"回暖/上升期",IF(N10&lt;9,"高潮期","极度亢奋")))))</f>
        <v/>
      </c>
      <c r="P10">
        <f>IF(N10="","",IF(N10&lt;3,"空仓观望",IF(N10&lt;5,"1-2成试探",IF(N10&lt;7,"3-5成正常参与",IF(N10&lt;9,"5-8成积极参与","3成以下防守")))))</f>
        <v/>
      </c>
    </row>
    <row r="11">
      <c r="C11">
        <f>IF(B11="","",IF(B11&lt;20,1.5,IF(B11&lt;40,3.5,IF(B11&lt;70,5.5,IF(B11&lt;100,7.5,9.5)))))</f>
        <v/>
      </c>
      <c r="E11">
        <f>IF(D11="","",IF(D11&lt;40,2,IF(D11&lt;55,4.5,IF(D11&lt;70,6.5,IF(D11&lt;85,8.5,10)))))</f>
        <v/>
      </c>
      <c r="G11">
        <f>IF(F11="","",IF(F11&lt;-5,1,IF(F11&lt;-2,2.5,IF(F11&lt;0,4.5,IF(F11&lt;3,6.5,IF(F11&lt;6,8.5,10))))))</f>
        <v/>
      </c>
      <c r="I11">
        <f>IF(H11="","",IF(H11&lt;2,1,IF(H11&lt;3,3,IF(H11&lt;4,5,IF(H11&lt;6,7,IF(H11&lt;8,8,9.5))))))</f>
        <v/>
      </c>
      <c r="K11">
        <f>IF(J11="","",IF(J11&lt;0.3,1,IF(J11&lt;0.6,2.5,IF(J11&lt;1,4.5,IF(J11&lt;2,6.5,IF(J11&lt;3,8.5,10))))))</f>
        <v/>
      </c>
      <c r="M11">
        <f>IF(L11="","",IF(L11&gt;30,1,IF(L11&gt;20,2.5,IF(L11&gt;10,4.5,IF(L11&gt;5,6.5,IF(L11&gt;0,8.5,10))))))</f>
        <v/>
      </c>
      <c r="N11">
        <f>IF(C11="","",ROUND(C11*0.15+E11*0.15+G11*0.25+I11*0.15+K11*0.15+M11*0.15,1))</f>
        <v/>
      </c>
      <c r="O11">
        <f>IF(N11="","",IF(N11&lt;3,"冰点期",IF(N11&lt;5,"退潮/修复期",IF(N11&lt;7,"回暖/上升期",IF(N11&lt;9,"高潮期","极度亢奋")))))</f>
        <v/>
      </c>
      <c r="P11">
        <f>IF(N11="","",IF(N11&lt;3,"空仓观望",IF(N11&lt;5,"1-2成试探",IF(N11&lt;7,"3-5成正常参与",IF(N11&lt;9,"5-8成积极参与","3成以下防守")))))</f>
        <v/>
      </c>
    </row>
    <row r="12">
      <c r="C12">
        <f>IF(B12="","",IF(B12&lt;20,1.5,IF(B12&lt;40,3.5,IF(B12&lt;70,5.5,IF(B12&lt;100,7.5,9.5)))))</f>
        <v/>
      </c>
      <c r="E12">
        <f>IF(D12="","",IF(D12&lt;40,2,IF(D12&lt;55,4.5,IF(D12&lt;70,6.5,IF(D12&lt;85,8.5,10)))))</f>
        <v/>
      </c>
      <c r="G12">
        <f>IF(F12="","",IF(F12&lt;-5,1,IF(F12&lt;-2,2.5,IF(F12&lt;0,4.5,IF(F12&lt;3,6.5,IF(F12&lt;6,8.5,10))))))</f>
        <v/>
      </c>
      <c r="I12">
        <f>IF(H12="","",IF(H12&lt;2,1,IF(H12&lt;3,3,IF(H12&lt;4,5,IF(H12&lt;6,7,IF(H12&lt;8,8,9.5))))))</f>
        <v/>
      </c>
      <c r="K12">
        <f>IF(J12="","",IF(J12&lt;0.3,1,IF(J12&lt;0.6,2.5,IF(J12&lt;1,4.5,IF(J12&lt;2,6.5,IF(J12&lt;3,8.5,10))))))</f>
        <v/>
      </c>
      <c r="M12">
        <f>IF(L12="","",IF(L12&gt;30,1,IF(L12&gt;20,2.5,IF(L12&gt;10,4.5,IF(L12&gt;5,6.5,IF(L12&gt;0,8.5,10))))))</f>
        <v/>
      </c>
      <c r="N12">
        <f>IF(C12="","",ROUND(C12*0.15+E12*0.15+G12*0.25+I12*0.15+K12*0.15+M12*0.15,1))</f>
        <v/>
      </c>
      <c r="O12">
        <f>IF(N12="","",IF(N12&lt;3,"冰点期",IF(N12&lt;5,"退潮/修复期",IF(N12&lt;7,"回暖/上升期",IF(N12&lt;9,"高潮期","极度亢奋")))))</f>
        <v/>
      </c>
      <c r="P12">
        <f>IF(N12="","",IF(N12&lt;3,"空仓观望",IF(N12&lt;5,"1-2成试探",IF(N12&lt;7,"3-5成正常参与",IF(N12&lt;9,"5-8成积极参与","3成以下防守")))))</f>
        <v/>
      </c>
    </row>
    <row r="13">
      <c r="C13">
        <f>IF(B13="","",IF(B13&lt;20,1.5,IF(B13&lt;40,3.5,IF(B13&lt;70,5.5,IF(B13&lt;100,7.5,9.5)))))</f>
        <v/>
      </c>
      <c r="E13">
        <f>IF(D13="","",IF(D13&lt;40,2,IF(D13&lt;55,4.5,IF(D13&lt;70,6.5,IF(D13&lt;85,8.5,10)))))</f>
        <v/>
      </c>
      <c r="G13">
        <f>IF(F13="","",IF(F13&lt;-5,1,IF(F13&lt;-2,2.5,IF(F13&lt;0,4.5,IF(F13&lt;3,6.5,IF(F13&lt;6,8.5,10))))))</f>
        <v/>
      </c>
      <c r="I13">
        <f>IF(H13="","",IF(H13&lt;2,1,IF(H13&lt;3,3,IF(H13&lt;4,5,IF(H13&lt;6,7,IF(H13&lt;8,8,9.5))))))</f>
        <v/>
      </c>
      <c r="K13">
        <f>IF(J13="","",IF(J13&lt;0.3,1,IF(J13&lt;0.6,2.5,IF(J13&lt;1,4.5,IF(J13&lt;2,6.5,IF(J13&lt;3,8.5,10))))))</f>
        <v/>
      </c>
      <c r="M13">
        <f>IF(L13="","",IF(L13&gt;30,1,IF(L13&gt;20,2.5,IF(L13&gt;10,4.5,IF(L13&gt;5,6.5,IF(L13&gt;0,8.5,10))))))</f>
        <v/>
      </c>
      <c r="N13">
        <f>IF(C13="","",ROUND(C13*0.15+E13*0.15+G13*0.25+I13*0.15+K13*0.15+M13*0.15,1))</f>
        <v/>
      </c>
      <c r="O13">
        <f>IF(N13="","",IF(N13&lt;3,"冰点期",IF(N13&lt;5,"退潮/修复期",IF(N13&lt;7,"回暖/上升期",IF(N13&lt;9,"高潮期","极度亢奋")))))</f>
        <v/>
      </c>
      <c r="P13">
        <f>IF(N13="","",IF(N13&lt;3,"空仓观望",IF(N13&lt;5,"1-2成试探",IF(N13&lt;7,"3-5成正常参与",IF(N13&lt;9,"5-8成积极参与","3成以下防守")))))</f>
        <v/>
      </c>
    </row>
    <row r="14">
      <c r="C14">
        <f>IF(B14="","",IF(B14&lt;20,1.5,IF(B14&lt;40,3.5,IF(B14&lt;70,5.5,IF(B14&lt;100,7.5,9.5)))))</f>
        <v/>
      </c>
      <c r="E14">
        <f>IF(D14="","",IF(D14&lt;40,2,IF(D14&lt;55,4.5,IF(D14&lt;70,6.5,IF(D14&lt;85,8.5,10)))))</f>
        <v/>
      </c>
      <c r="G14">
        <f>IF(F14="","",IF(F14&lt;-5,1,IF(F14&lt;-2,2.5,IF(F14&lt;0,4.5,IF(F14&lt;3,6.5,IF(F14&lt;6,8.5,10))))))</f>
        <v/>
      </c>
      <c r="I14">
        <f>IF(H14="","",IF(H14&lt;2,1,IF(H14&lt;3,3,IF(H14&lt;4,5,IF(H14&lt;6,7,IF(H14&lt;8,8,9.5))))))</f>
        <v/>
      </c>
      <c r="K14">
        <f>IF(J14="","",IF(J14&lt;0.3,1,IF(J14&lt;0.6,2.5,IF(J14&lt;1,4.5,IF(J14&lt;2,6.5,IF(J14&lt;3,8.5,10))))))</f>
        <v/>
      </c>
      <c r="M14">
        <f>IF(L14="","",IF(L14&gt;30,1,IF(L14&gt;20,2.5,IF(L14&gt;10,4.5,IF(L14&gt;5,6.5,IF(L14&gt;0,8.5,10))))))</f>
        <v/>
      </c>
      <c r="N14">
        <f>IF(C14="","",ROUND(C14*0.15+E14*0.15+G14*0.25+I14*0.15+K14*0.15+M14*0.15,1))</f>
        <v/>
      </c>
      <c r="O14">
        <f>IF(N14="","",IF(N14&lt;3,"冰点期",IF(N14&lt;5,"退潮/修复期",IF(N14&lt;7,"回暖/上升期",IF(N14&lt;9,"高潮期","极度亢奋")))))</f>
        <v/>
      </c>
      <c r="P14">
        <f>IF(N14="","",IF(N14&lt;3,"空仓观望",IF(N14&lt;5,"1-2成试探",IF(N14&lt;7,"3-5成正常参与",IF(N14&lt;9,"5-8成积极参与","3成以下防守")))))</f>
        <v/>
      </c>
    </row>
    <row r="15">
      <c r="C15">
        <f>IF(B15="","",IF(B15&lt;20,1.5,IF(B15&lt;40,3.5,IF(B15&lt;70,5.5,IF(B15&lt;100,7.5,9.5)))))</f>
        <v/>
      </c>
      <c r="E15">
        <f>IF(D15="","",IF(D15&lt;40,2,IF(D15&lt;55,4.5,IF(D15&lt;70,6.5,IF(D15&lt;85,8.5,10)))))</f>
        <v/>
      </c>
      <c r="G15">
        <f>IF(F15="","",IF(F15&lt;-5,1,IF(F15&lt;-2,2.5,IF(F15&lt;0,4.5,IF(F15&lt;3,6.5,IF(F15&lt;6,8.5,10))))))</f>
        <v/>
      </c>
      <c r="I15">
        <f>IF(H15="","",IF(H15&lt;2,1,IF(H15&lt;3,3,IF(H15&lt;4,5,IF(H15&lt;6,7,IF(H15&lt;8,8,9.5))))))</f>
        <v/>
      </c>
      <c r="K15">
        <f>IF(J15="","",IF(J15&lt;0.3,1,IF(J15&lt;0.6,2.5,IF(J15&lt;1,4.5,IF(J15&lt;2,6.5,IF(J15&lt;3,8.5,10))))))</f>
        <v/>
      </c>
      <c r="M15">
        <f>IF(L15="","",IF(L15&gt;30,1,IF(L15&gt;20,2.5,IF(L15&gt;10,4.5,IF(L15&gt;5,6.5,IF(L15&gt;0,8.5,10))))))</f>
        <v/>
      </c>
      <c r="N15">
        <f>IF(C15="","",ROUND(C15*0.15+E15*0.15+G15*0.25+I15*0.15+K15*0.15+M15*0.15,1))</f>
        <v/>
      </c>
      <c r="O15">
        <f>IF(N15="","",IF(N15&lt;3,"冰点期",IF(N15&lt;5,"退潮/修复期",IF(N15&lt;7,"回暖/上升期",IF(N15&lt;9,"高潮期","极度亢奋")))))</f>
        <v/>
      </c>
      <c r="P15">
        <f>IF(N15="","",IF(N15&lt;3,"空仓观望",IF(N15&lt;5,"1-2成试探",IF(N15&lt;7,"3-5成正常参与",IF(N15&lt;9,"5-8成积极参与","3成以下防守")))))</f>
        <v/>
      </c>
    </row>
    <row r="16">
      <c r="C16">
        <f>IF(B16="","",IF(B16&lt;20,1.5,IF(B16&lt;40,3.5,IF(B16&lt;70,5.5,IF(B16&lt;100,7.5,9.5)))))</f>
        <v/>
      </c>
      <c r="E16">
        <f>IF(D16="","",IF(D16&lt;40,2,IF(D16&lt;55,4.5,IF(D16&lt;70,6.5,IF(D16&lt;85,8.5,10)))))</f>
        <v/>
      </c>
      <c r="G16">
        <f>IF(F16="","",IF(F16&lt;-5,1,IF(F16&lt;-2,2.5,IF(F16&lt;0,4.5,IF(F16&lt;3,6.5,IF(F16&lt;6,8.5,10))))))</f>
        <v/>
      </c>
      <c r="I16">
        <f>IF(H16="","",IF(H16&lt;2,1,IF(H16&lt;3,3,IF(H16&lt;4,5,IF(H16&lt;6,7,IF(H16&lt;8,8,9.5))))))</f>
        <v/>
      </c>
      <c r="K16">
        <f>IF(J16="","",IF(J16&lt;0.3,1,IF(J16&lt;0.6,2.5,IF(J16&lt;1,4.5,IF(J16&lt;2,6.5,IF(J16&lt;3,8.5,10))))))</f>
        <v/>
      </c>
      <c r="M16">
        <f>IF(L16="","",IF(L16&gt;30,1,IF(L16&gt;20,2.5,IF(L16&gt;10,4.5,IF(L16&gt;5,6.5,IF(L16&gt;0,8.5,10))))))</f>
        <v/>
      </c>
      <c r="N16">
        <f>IF(C16="","",ROUND(C16*0.15+E16*0.15+G16*0.25+I16*0.15+K16*0.15+M16*0.15,1))</f>
        <v/>
      </c>
      <c r="O16">
        <f>IF(N16="","",IF(N16&lt;3,"冰点期",IF(N16&lt;5,"退潮/修复期",IF(N16&lt;7,"回暖/上升期",IF(N16&lt;9,"高潮期","极度亢奋")))))</f>
        <v/>
      </c>
      <c r="P16">
        <f>IF(N16="","",IF(N16&lt;3,"空仓观望",IF(N16&lt;5,"1-2成试探",IF(N16&lt;7,"3-5成正常参与",IF(N16&lt;9,"5-8成积极参与","3成以下防守")))))</f>
        <v/>
      </c>
    </row>
    <row r="17">
      <c r="C17">
        <f>IF(B17="","",IF(B17&lt;20,1.5,IF(B17&lt;40,3.5,IF(B17&lt;70,5.5,IF(B17&lt;100,7.5,9.5)))))</f>
        <v/>
      </c>
      <c r="E17">
        <f>IF(D17="","",IF(D17&lt;40,2,IF(D17&lt;55,4.5,IF(D17&lt;70,6.5,IF(D17&lt;85,8.5,10)))))</f>
        <v/>
      </c>
      <c r="G17">
        <f>IF(F17="","",IF(F17&lt;-5,1,IF(F17&lt;-2,2.5,IF(F17&lt;0,4.5,IF(F17&lt;3,6.5,IF(F17&lt;6,8.5,10))))))</f>
        <v/>
      </c>
      <c r="I17">
        <f>IF(H17="","",IF(H17&lt;2,1,IF(H17&lt;3,3,IF(H17&lt;4,5,IF(H17&lt;6,7,IF(H17&lt;8,8,9.5))))))</f>
        <v/>
      </c>
      <c r="K17">
        <f>IF(J17="","",IF(J17&lt;0.3,1,IF(J17&lt;0.6,2.5,IF(J17&lt;1,4.5,IF(J17&lt;2,6.5,IF(J17&lt;3,8.5,10))))))</f>
        <v/>
      </c>
      <c r="M17">
        <f>IF(L17="","",IF(L17&gt;30,1,IF(L17&gt;20,2.5,IF(L17&gt;10,4.5,IF(L17&gt;5,6.5,IF(L17&gt;0,8.5,10))))))</f>
        <v/>
      </c>
      <c r="N17">
        <f>IF(C17="","",ROUND(C17*0.15+E17*0.15+G17*0.25+I17*0.15+K17*0.15+M17*0.15,1))</f>
        <v/>
      </c>
      <c r="O17">
        <f>IF(N17="","",IF(N17&lt;3,"冰点期",IF(N17&lt;5,"退潮/修复期",IF(N17&lt;7,"回暖/上升期",IF(N17&lt;9,"高潮期","极度亢奋")))))</f>
        <v/>
      </c>
      <c r="P17">
        <f>IF(N17="","",IF(N17&lt;3,"空仓观望",IF(N17&lt;5,"1-2成试探",IF(N17&lt;7,"3-5成正常参与",IF(N17&lt;9,"5-8成积极参与","3成以下防守")))))</f>
        <v/>
      </c>
    </row>
    <row r="18">
      <c r="C18">
        <f>IF(B18="","",IF(B18&lt;20,1.5,IF(B18&lt;40,3.5,IF(B18&lt;70,5.5,IF(B18&lt;100,7.5,9.5)))))</f>
        <v/>
      </c>
      <c r="E18">
        <f>IF(D18="","",IF(D18&lt;40,2,IF(D18&lt;55,4.5,IF(D18&lt;70,6.5,IF(D18&lt;85,8.5,10)))))</f>
        <v/>
      </c>
      <c r="G18">
        <f>IF(F18="","",IF(F18&lt;-5,1,IF(F18&lt;-2,2.5,IF(F18&lt;0,4.5,IF(F18&lt;3,6.5,IF(F18&lt;6,8.5,10))))))</f>
        <v/>
      </c>
      <c r="I18">
        <f>IF(H18="","",IF(H18&lt;2,1,IF(H18&lt;3,3,IF(H18&lt;4,5,IF(H18&lt;6,7,IF(H18&lt;8,8,9.5))))))</f>
        <v/>
      </c>
      <c r="K18">
        <f>IF(J18="","",IF(J18&lt;0.3,1,IF(J18&lt;0.6,2.5,IF(J18&lt;1,4.5,IF(J18&lt;2,6.5,IF(J18&lt;3,8.5,10))))))</f>
        <v/>
      </c>
      <c r="M18">
        <f>IF(L18="","",IF(L18&gt;30,1,IF(L18&gt;20,2.5,IF(L18&gt;10,4.5,IF(L18&gt;5,6.5,IF(L18&gt;0,8.5,10))))))</f>
        <v/>
      </c>
      <c r="N18">
        <f>IF(C18="","",ROUND(C18*0.15+E18*0.15+G18*0.25+I18*0.15+K18*0.15+M18*0.15,1))</f>
        <v/>
      </c>
      <c r="O18">
        <f>IF(N18="","",IF(N18&lt;3,"冰点期",IF(N18&lt;5,"退潮/修复期",IF(N18&lt;7,"回暖/上升期",IF(N18&lt;9,"高潮期","极度亢奋")))))</f>
        <v/>
      </c>
      <c r="P18">
        <f>IF(N18="","",IF(N18&lt;3,"空仓观望",IF(N18&lt;5,"1-2成试探",IF(N18&lt;7,"3-5成正常参与",IF(N18&lt;9,"5-8成积极参与","3成以下防守")))))</f>
        <v/>
      </c>
    </row>
    <row r="19">
      <c r="C19">
        <f>IF(B19="","",IF(B19&lt;20,1.5,IF(B19&lt;40,3.5,IF(B19&lt;70,5.5,IF(B19&lt;100,7.5,9.5)))))</f>
        <v/>
      </c>
      <c r="E19">
        <f>IF(D19="","",IF(D19&lt;40,2,IF(D19&lt;55,4.5,IF(D19&lt;70,6.5,IF(D19&lt;85,8.5,10)))))</f>
        <v/>
      </c>
      <c r="G19">
        <f>IF(F19="","",IF(F19&lt;-5,1,IF(F19&lt;-2,2.5,IF(F19&lt;0,4.5,IF(F19&lt;3,6.5,IF(F19&lt;6,8.5,10))))))</f>
        <v/>
      </c>
      <c r="I19">
        <f>IF(H19="","",IF(H19&lt;2,1,IF(H19&lt;3,3,IF(H19&lt;4,5,IF(H19&lt;6,7,IF(H19&lt;8,8,9.5))))))</f>
        <v/>
      </c>
      <c r="K19">
        <f>IF(J19="","",IF(J19&lt;0.3,1,IF(J19&lt;0.6,2.5,IF(J19&lt;1,4.5,IF(J19&lt;2,6.5,IF(J19&lt;3,8.5,10))))))</f>
        <v/>
      </c>
      <c r="M19">
        <f>IF(L19="","",IF(L19&gt;30,1,IF(L19&gt;20,2.5,IF(L19&gt;10,4.5,IF(L19&gt;5,6.5,IF(L19&gt;0,8.5,10))))))</f>
        <v/>
      </c>
      <c r="N19">
        <f>IF(C19="","",ROUND(C19*0.15+E19*0.15+G19*0.25+I19*0.15+K19*0.15+M19*0.15,1))</f>
        <v/>
      </c>
      <c r="O19">
        <f>IF(N19="","",IF(N19&lt;3,"冰点期",IF(N19&lt;5,"退潮/修复期",IF(N19&lt;7,"回暖/上升期",IF(N19&lt;9,"高潮期","极度亢奋")))))</f>
        <v/>
      </c>
      <c r="P19">
        <f>IF(N19="","",IF(N19&lt;3,"空仓观望",IF(N19&lt;5,"1-2成试探",IF(N19&lt;7,"3-5成正常参与",IF(N19&lt;9,"5-8成积极参与","3成以下防守")))))</f>
        <v/>
      </c>
    </row>
    <row r="20">
      <c r="C20">
        <f>IF(B20="","",IF(B20&lt;20,1.5,IF(B20&lt;40,3.5,IF(B20&lt;70,5.5,IF(B20&lt;100,7.5,9.5)))))</f>
        <v/>
      </c>
      <c r="E20">
        <f>IF(D20="","",IF(D20&lt;40,2,IF(D20&lt;55,4.5,IF(D20&lt;70,6.5,IF(D20&lt;85,8.5,10)))))</f>
        <v/>
      </c>
      <c r="G20">
        <f>IF(F20="","",IF(F20&lt;-5,1,IF(F20&lt;-2,2.5,IF(F20&lt;0,4.5,IF(F20&lt;3,6.5,IF(F20&lt;6,8.5,10))))))</f>
        <v/>
      </c>
      <c r="I20">
        <f>IF(H20="","",IF(H20&lt;2,1,IF(H20&lt;3,3,IF(H20&lt;4,5,IF(H20&lt;6,7,IF(H20&lt;8,8,9.5))))))</f>
        <v/>
      </c>
      <c r="K20">
        <f>IF(J20="","",IF(J20&lt;0.3,1,IF(J20&lt;0.6,2.5,IF(J20&lt;1,4.5,IF(J20&lt;2,6.5,IF(J20&lt;3,8.5,10))))))</f>
        <v/>
      </c>
      <c r="M20">
        <f>IF(L20="","",IF(L20&gt;30,1,IF(L20&gt;20,2.5,IF(L20&gt;10,4.5,IF(L20&gt;5,6.5,IF(L20&gt;0,8.5,10))))))</f>
        <v/>
      </c>
      <c r="N20">
        <f>IF(C20="","",ROUND(C20*0.15+E20*0.15+G20*0.25+I20*0.15+K20*0.15+M20*0.15,1))</f>
        <v/>
      </c>
      <c r="O20">
        <f>IF(N20="","",IF(N20&lt;3,"冰点期",IF(N20&lt;5,"退潮/修复期",IF(N20&lt;7,"回暖/上升期",IF(N20&lt;9,"高潮期","极度亢奋")))))</f>
        <v/>
      </c>
      <c r="P20">
        <f>IF(N20="","",IF(N20&lt;3,"空仓观望",IF(N20&lt;5,"1-2成试探",IF(N20&lt;7,"3-5成正常参与",IF(N20&lt;9,"5-8成积极参与","3成以下防守")))))</f>
        <v/>
      </c>
    </row>
    <row r="21">
      <c r="C21">
        <f>IF(B21="","",IF(B21&lt;20,1.5,IF(B21&lt;40,3.5,IF(B21&lt;70,5.5,IF(B21&lt;100,7.5,9.5)))))</f>
        <v/>
      </c>
      <c r="E21">
        <f>IF(D21="","",IF(D21&lt;40,2,IF(D21&lt;55,4.5,IF(D21&lt;70,6.5,IF(D21&lt;85,8.5,10)))))</f>
        <v/>
      </c>
      <c r="G21">
        <f>IF(F21="","",IF(F21&lt;-5,1,IF(F21&lt;-2,2.5,IF(F21&lt;0,4.5,IF(F21&lt;3,6.5,IF(F21&lt;6,8.5,10))))))</f>
        <v/>
      </c>
      <c r="I21">
        <f>IF(H21="","",IF(H21&lt;2,1,IF(H21&lt;3,3,IF(H21&lt;4,5,IF(H21&lt;6,7,IF(H21&lt;8,8,9.5))))))</f>
        <v/>
      </c>
      <c r="K21">
        <f>IF(J21="","",IF(J21&lt;0.3,1,IF(J21&lt;0.6,2.5,IF(J21&lt;1,4.5,IF(J21&lt;2,6.5,IF(J21&lt;3,8.5,10))))))</f>
        <v/>
      </c>
      <c r="M21">
        <f>IF(L21="","",IF(L21&gt;30,1,IF(L21&gt;20,2.5,IF(L21&gt;10,4.5,IF(L21&gt;5,6.5,IF(L21&gt;0,8.5,10))))))</f>
        <v/>
      </c>
      <c r="N21">
        <f>IF(C21="","",ROUND(C21*0.15+E21*0.15+G21*0.25+I21*0.15+K21*0.15+M21*0.15,1))</f>
        <v/>
      </c>
      <c r="O21">
        <f>IF(N21="","",IF(N21&lt;3,"冰点期",IF(N21&lt;5,"退潮/修复期",IF(N21&lt;7,"回暖/上升期",IF(N21&lt;9,"高潮期","极度亢奋")))))</f>
        <v/>
      </c>
      <c r="P21">
        <f>IF(N21="","",IF(N21&lt;3,"空仓观望",IF(N21&lt;5,"1-2成试探",IF(N21&lt;7,"3-5成正常参与",IF(N21&lt;9,"5-8成积极参与","3成以下防守")))))</f>
        <v/>
      </c>
    </row>
    <row r="22">
      <c r="C22">
        <f>IF(B22="","",IF(B22&lt;20,1.5,IF(B22&lt;40,3.5,IF(B22&lt;70,5.5,IF(B22&lt;100,7.5,9.5)))))</f>
        <v/>
      </c>
      <c r="E22">
        <f>IF(D22="","",IF(D22&lt;40,2,IF(D22&lt;55,4.5,IF(D22&lt;70,6.5,IF(D22&lt;85,8.5,10)))))</f>
        <v/>
      </c>
      <c r="G22">
        <f>IF(F22="","",IF(F22&lt;-5,1,IF(F22&lt;-2,2.5,IF(F22&lt;0,4.5,IF(F22&lt;3,6.5,IF(F22&lt;6,8.5,10))))))</f>
        <v/>
      </c>
      <c r="I22">
        <f>IF(H22="","",IF(H22&lt;2,1,IF(H22&lt;3,3,IF(H22&lt;4,5,IF(H22&lt;6,7,IF(H22&lt;8,8,9.5))))))</f>
        <v/>
      </c>
      <c r="K22">
        <f>IF(J22="","",IF(J22&lt;0.3,1,IF(J22&lt;0.6,2.5,IF(J22&lt;1,4.5,IF(J22&lt;2,6.5,IF(J22&lt;3,8.5,10))))))</f>
        <v/>
      </c>
      <c r="M22">
        <f>IF(L22="","",IF(L22&gt;30,1,IF(L22&gt;20,2.5,IF(L22&gt;10,4.5,IF(L22&gt;5,6.5,IF(L22&gt;0,8.5,10))))))</f>
        <v/>
      </c>
      <c r="N22">
        <f>IF(C22="","",ROUND(C22*0.15+E22*0.15+G22*0.25+I22*0.15+K22*0.15+M22*0.15,1))</f>
        <v/>
      </c>
      <c r="O22">
        <f>IF(N22="","",IF(N22&lt;3,"冰点期",IF(N22&lt;5,"退潮/修复期",IF(N22&lt;7,"回暖/上升期",IF(N22&lt;9,"高潮期","极度亢奋")))))</f>
        <v/>
      </c>
      <c r="P22">
        <f>IF(N22="","",IF(N22&lt;3,"空仓观望",IF(N22&lt;5,"1-2成试探",IF(N22&lt;7,"3-5成正常参与",IF(N22&lt;9,"5-8成积极参与","3成以下防守")))))</f>
        <v/>
      </c>
    </row>
    <row r="23">
      <c r="C23">
        <f>IF(B23="","",IF(B23&lt;20,1.5,IF(B23&lt;40,3.5,IF(B23&lt;70,5.5,IF(B23&lt;100,7.5,9.5)))))</f>
        <v/>
      </c>
      <c r="E23">
        <f>IF(D23="","",IF(D23&lt;40,2,IF(D23&lt;55,4.5,IF(D23&lt;70,6.5,IF(D23&lt;85,8.5,10)))))</f>
        <v/>
      </c>
      <c r="G23">
        <f>IF(F23="","",IF(F23&lt;-5,1,IF(F23&lt;-2,2.5,IF(F23&lt;0,4.5,IF(F23&lt;3,6.5,IF(F23&lt;6,8.5,10))))))</f>
        <v/>
      </c>
      <c r="I23">
        <f>IF(H23="","",IF(H23&lt;2,1,IF(H23&lt;3,3,IF(H23&lt;4,5,IF(H23&lt;6,7,IF(H23&lt;8,8,9.5))))))</f>
        <v/>
      </c>
      <c r="K23">
        <f>IF(J23="","",IF(J23&lt;0.3,1,IF(J23&lt;0.6,2.5,IF(J23&lt;1,4.5,IF(J23&lt;2,6.5,IF(J23&lt;3,8.5,10))))))</f>
        <v/>
      </c>
      <c r="M23">
        <f>IF(L23="","",IF(L23&gt;30,1,IF(L23&gt;20,2.5,IF(L23&gt;10,4.5,IF(L23&gt;5,6.5,IF(L23&gt;0,8.5,10))))))</f>
        <v/>
      </c>
      <c r="N23">
        <f>IF(C23="","",ROUND(C23*0.15+E23*0.15+G23*0.25+I23*0.15+K23*0.15+M23*0.15,1))</f>
        <v/>
      </c>
      <c r="O23">
        <f>IF(N23="","",IF(N23&lt;3,"冰点期",IF(N23&lt;5,"退潮/修复期",IF(N23&lt;7,"回暖/上升期",IF(N23&lt;9,"高潮期","极度亢奋")))))</f>
        <v/>
      </c>
      <c r="P23">
        <f>IF(N23="","",IF(N23&lt;3,"空仓观望",IF(N23&lt;5,"1-2成试探",IF(N23&lt;7,"3-5成正常参与",IF(N23&lt;9,"5-8成积极参与","3成以下防守")))))</f>
        <v/>
      </c>
    </row>
    <row r="24">
      <c r="C24">
        <f>IF(B24="","",IF(B24&lt;20,1.5,IF(B24&lt;40,3.5,IF(B24&lt;70,5.5,IF(B24&lt;100,7.5,9.5)))))</f>
        <v/>
      </c>
      <c r="E24">
        <f>IF(D24="","",IF(D24&lt;40,2,IF(D24&lt;55,4.5,IF(D24&lt;70,6.5,IF(D24&lt;85,8.5,10)))))</f>
        <v/>
      </c>
      <c r="G24">
        <f>IF(F24="","",IF(F24&lt;-5,1,IF(F24&lt;-2,2.5,IF(F24&lt;0,4.5,IF(F24&lt;3,6.5,IF(F24&lt;6,8.5,10))))))</f>
        <v/>
      </c>
      <c r="I24">
        <f>IF(H24="","",IF(H24&lt;2,1,IF(H24&lt;3,3,IF(H24&lt;4,5,IF(H24&lt;6,7,IF(H24&lt;8,8,9.5))))))</f>
        <v/>
      </c>
      <c r="K24">
        <f>IF(J24="","",IF(J24&lt;0.3,1,IF(J24&lt;0.6,2.5,IF(J24&lt;1,4.5,IF(J24&lt;2,6.5,IF(J24&lt;3,8.5,10))))))</f>
        <v/>
      </c>
      <c r="M24">
        <f>IF(L24="","",IF(L24&gt;30,1,IF(L24&gt;20,2.5,IF(L24&gt;10,4.5,IF(L24&gt;5,6.5,IF(L24&gt;0,8.5,10))))))</f>
        <v/>
      </c>
      <c r="N24">
        <f>IF(C24="","",ROUND(C24*0.15+E24*0.15+G24*0.25+I24*0.15+K24*0.15+M24*0.15,1))</f>
        <v/>
      </c>
      <c r="O24">
        <f>IF(N24="","",IF(N24&lt;3,"冰点期",IF(N24&lt;5,"退潮/修复期",IF(N24&lt;7,"回暖/上升期",IF(N24&lt;9,"高潮期","极度亢奋")))))</f>
        <v/>
      </c>
      <c r="P24">
        <f>IF(N24="","",IF(N24&lt;3,"空仓观望",IF(N24&lt;5,"1-2成试探",IF(N24&lt;7,"3-5成正常参与",IF(N24&lt;9,"5-8成积极参与","3成以下防守")))))</f>
        <v/>
      </c>
    </row>
    <row r="25">
      <c r="C25">
        <f>IF(B25="","",IF(B25&lt;20,1.5,IF(B25&lt;40,3.5,IF(B25&lt;70,5.5,IF(B25&lt;100,7.5,9.5)))))</f>
        <v/>
      </c>
      <c r="E25">
        <f>IF(D25="","",IF(D25&lt;40,2,IF(D25&lt;55,4.5,IF(D25&lt;70,6.5,IF(D25&lt;85,8.5,10)))))</f>
        <v/>
      </c>
      <c r="G25">
        <f>IF(F25="","",IF(F25&lt;-5,1,IF(F25&lt;-2,2.5,IF(F25&lt;0,4.5,IF(F25&lt;3,6.5,IF(F25&lt;6,8.5,10))))))</f>
        <v/>
      </c>
      <c r="I25">
        <f>IF(H25="","",IF(H25&lt;2,1,IF(H25&lt;3,3,IF(H25&lt;4,5,IF(H25&lt;6,7,IF(H25&lt;8,8,9.5))))))</f>
        <v/>
      </c>
      <c r="K25">
        <f>IF(J25="","",IF(J25&lt;0.3,1,IF(J25&lt;0.6,2.5,IF(J25&lt;1,4.5,IF(J25&lt;2,6.5,IF(J25&lt;3,8.5,10))))))</f>
        <v/>
      </c>
      <c r="M25">
        <f>IF(L25="","",IF(L25&gt;30,1,IF(L25&gt;20,2.5,IF(L25&gt;10,4.5,IF(L25&gt;5,6.5,IF(L25&gt;0,8.5,10))))))</f>
        <v/>
      </c>
      <c r="N25">
        <f>IF(C25="","",ROUND(C25*0.15+E25*0.15+G25*0.25+I25*0.15+K25*0.15+M25*0.15,1))</f>
        <v/>
      </c>
      <c r="O25">
        <f>IF(N25="","",IF(N25&lt;3,"冰点期",IF(N25&lt;5,"退潮/修复期",IF(N25&lt;7,"回暖/上升期",IF(N25&lt;9,"高潮期","极度亢奋")))))</f>
        <v/>
      </c>
      <c r="P25">
        <f>IF(N25="","",IF(N25&lt;3,"空仓观望",IF(N25&lt;5,"1-2成试探",IF(N25&lt;7,"3-5成正常参与",IF(N25&lt;9,"5-8成积极参与","3成以下防守")))))</f>
        <v/>
      </c>
    </row>
    <row r="26">
      <c r="C26">
        <f>IF(B26="","",IF(B26&lt;20,1.5,IF(B26&lt;40,3.5,IF(B26&lt;70,5.5,IF(B26&lt;100,7.5,9.5)))))</f>
        <v/>
      </c>
      <c r="E26">
        <f>IF(D26="","",IF(D26&lt;40,2,IF(D26&lt;55,4.5,IF(D26&lt;70,6.5,IF(D26&lt;85,8.5,10)))))</f>
        <v/>
      </c>
      <c r="G26">
        <f>IF(F26="","",IF(F26&lt;-5,1,IF(F26&lt;-2,2.5,IF(F26&lt;0,4.5,IF(F26&lt;3,6.5,IF(F26&lt;6,8.5,10))))))</f>
        <v/>
      </c>
      <c r="I26">
        <f>IF(H26="","",IF(H26&lt;2,1,IF(H26&lt;3,3,IF(H26&lt;4,5,IF(H26&lt;6,7,IF(H26&lt;8,8,9.5))))))</f>
        <v/>
      </c>
      <c r="K26">
        <f>IF(J26="","",IF(J26&lt;0.3,1,IF(J26&lt;0.6,2.5,IF(J26&lt;1,4.5,IF(J26&lt;2,6.5,IF(J26&lt;3,8.5,10))))))</f>
        <v/>
      </c>
      <c r="M26">
        <f>IF(L26="","",IF(L26&gt;30,1,IF(L26&gt;20,2.5,IF(L26&gt;10,4.5,IF(L26&gt;5,6.5,IF(L26&gt;0,8.5,10))))))</f>
        <v/>
      </c>
      <c r="N26">
        <f>IF(C26="","",ROUND(C26*0.15+E26*0.15+G26*0.25+I26*0.15+K26*0.15+M26*0.15,1))</f>
        <v/>
      </c>
      <c r="O26">
        <f>IF(N26="","",IF(N26&lt;3,"冰点期",IF(N26&lt;5,"退潮/修复期",IF(N26&lt;7,"回暖/上升期",IF(N26&lt;9,"高潮期","极度亢奋")))))</f>
        <v/>
      </c>
      <c r="P26">
        <f>IF(N26="","",IF(N26&lt;3,"空仓观望",IF(N26&lt;5,"1-2成试探",IF(N26&lt;7,"3-5成正常参与",IF(N26&lt;9,"5-8成积极参与","3成以下防守")))))</f>
        <v/>
      </c>
    </row>
    <row r="27">
      <c r="C27">
        <f>IF(B27="","",IF(B27&lt;20,1.5,IF(B27&lt;40,3.5,IF(B27&lt;70,5.5,IF(B27&lt;100,7.5,9.5)))))</f>
        <v/>
      </c>
      <c r="E27">
        <f>IF(D27="","",IF(D27&lt;40,2,IF(D27&lt;55,4.5,IF(D27&lt;70,6.5,IF(D27&lt;85,8.5,10)))))</f>
        <v/>
      </c>
      <c r="G27">
        <f>IF(F27="","",IF(F27&lt;-5,1,IF(F27&lt;-2,2.5,IF(F27&lt;0,4.5,IF(F27&lt;3,6.5,IF(F27&lt;6,8.5,10))))))</f>
        <v/>
      </c>
      <c r="I27">
        <f>IF(H27="","",IF(H27&lt;2,1,IF(H27&lt;3,3,IF(H27&lt;4,5,IF(H27&lt;6,7,IF(H27&lt;8,8,9.5))))))</f>
        <v/>
      </c>
      <c r="K27">
        <f>IF(J27="","",IF(J27&lt;0.3,1,IF(J27&lt;0.6,2.5,IF(J27&lt;1,4.5,IF(J27&lt;2,6.5,IF(J27&lt;3,8.5,10))))))</f>
        <v/>
      </c>
      <c r="M27">
        <f>IF(L27="","",IF(L27&gt;30,1,IF(L27&gt;20,2.5,IF(L27&gt;10,4.5,IF(L27&gt;5,6.5,IF(L27&gt;0,8.5,10))))))</f>
        <v/>
      </c>
      <c r="N27">
        <f>IF(C27="","",ROUND(C27*0.15+E27*0.15+G27*0.25+I27*0.15+K27*0.15+M27*0.15,1))</f>
        <v/>
      </c>
      <c r="O27">
        <f>IF(N27="","",IF(N27&lt;3,"冰点期",IF(N27&lt;5,"退潮/修复期",IF(N27&lt;7,"回暖/上升期",IF(N27&lt;9,"高潮期","极度亢奋")))))</f>
        <v/>
      </c>
      <c r="P27">
        <f>IF(N27="","",IF(N27&lt;3,"空仓观望",IF(N27&lt;5,"1-2成试探",IF(N27&lt;7,"3-5成正常参与",IF(N27&lt;9,"5-8成积极参与","3成以下防守")))))</f>
        <v/>
      </c>
    </row>
    <row r="28">
      <c r="C28">
        <f>IF(B28="","",IF(B28&lt;20,1.5,IF(B28&lt;40,3.5,IF(B28&lt;70,5.5,IF(B28&lt;100,7.5,9.5)))))</f>
        <v/>
      </c>
      <c r="E28">
        <f>IF(D28="","",IF(D28&lt;40,2,IF(D28&lt;55,4.5,IF(D28&lt;70,6.5,IF(D28&lt;85,8.5,10)))))</f>
        <v/>
      </c>
      <c r="G28">
        <f>IF(F28="","",IF(F28&lt;-5,1,IF(F28&lt;-2,2.5,IF(F28&lt;0,4.5,IF(F28&lt;3,6.5,IF(F28&lt;6,8.5,10))))))</f>
        <v/>
      </c>
      <c r="I28">
        <f>IF(H28="","",IF(H28&lt;2,1,IF(H28&lt;3,3,IF(H28&lt;4,5,IF(H28&lt;6,7,IF(H28&lt;8,8,9.5))))))</f>
        <v/>
      </c>
      <c r="K28">
        <f>IF(J28="","",IF(J28&lt;0.3,1,IF(J28&lt;0.6,2.5,IF(J28&lt;1,4.5,IF(J28&lt;2,6.5,IF(J28&lt;3,8.5,10))))))</f>
        <v/>
      </c>
      <c r="M28">
        <f>IF(L28="","",IF(L28&gt;30,1,IF(L28&gt;20,2.5,IF(L28&gt;10,4.5,IF(L28&gt;5,6.5,IF(L28&gt;0,8.5,10))))))</f>
        <v/>
      </c>
      <c r="N28">
        <f>IF(C28="","",ROUND(C28*0.15+E28*0.15+G28*0.25+I28*0.15+K28*0.15+M28*0.15,1))</f>
        <v/>
      </c>
      <c r="O28">
        <f>IF(N28="","",IF(N28&lt;3,"冰点期",IF(N28&lt;5,"退潮/修复期",IF(N28&lt;7,"回暖/上升期",IF(N28&lt;9,"高潮期","极度亢奋")))))</f>
        <v/>
      </c>
      <c r="P28">
        <f>IF(N28="","",IF(N28&lt;3,"空仓观望",IF(N28&lt;5,"1-2成试探",IF(N28&lt;7,"3-5成正常参与",IF(N28&lt;9,"5-8成积极参与","3成以下防守")))))</f>
        <v/>
      </c>
    </row>
    <row r="29">
      <c r="C29">
        <f>IF(B29="","",IF(B29&lt;20,1.5,IF(B29&lt;40,3.5,IF(B29&lt;70,5.5,IF(B29&lt;100,7.5,9.5)))))</f>
        <v/>
      </c>
      <c r="E29">
        <f>IF(D29="","",IF(D29&lt;40,2,IF(D29&lt;55,4.5,IF(D29&lt;70,6.5,IF(D29&lt;85,8.5,10)))))</f>
        <v/>
      </c>
      <c r="G29">
        <f>IF(F29="","",IF(F29&lt;-5,1,IF(F29&lt;-2,2.5,IF(F29&lt;0,4.5,IF(F29&lt;3,6.5,IF(F29&lt;6,8.5,10))))))</f>
        <v/>
      </c>
      <c r="I29">
        <f>IF(H29="","",IF(H29&lt;2,1,IF(H29&lt;3,3,IF(H29&lt;4,5,IF(H29&lt;6,7,IF(H29&lt;8,8,9.5))))))</f>
        <v/>
      </c>
      <c r="K29">
        <f>IF(J29="","",IF(J29&lt;0.3,1,IF(J29&lt;0.6,2.5,IF(J29&lt;1,4.5,IF(J29&lt;2,6.5,IF(J29&lt;3,8.5,10))))))</f>
        <v/>
      </c>
      <c r="M29">
        <f>IF(L29="","",IF(L29&gt;30,1,IF(L29&gt;20,2.5,IF(L29&gt;10,4.5,IF(L29&gt;5,6.5,IF(L29&gt;0,8.5,10))))))</f>
        <v/>
      </c>
      <c r="N29">
        <f>IF(C29="","",ROUND(C29*0.15+E29*0.15+G29*0.25+I29*0.15+K29*0.15+M29*0.15,1))</f>
        <v/>
      </c>
      <c r="O29">
        <f>IF(N29="","",IF(N29&lt;3,"冰点期",IF(N29&lt;5,"退潮/修复期",IF(N29&lt;7,"回暖/上升期",IF(N29&lt;9,"高潮期","极度亢奋")))))</f>
        <v/>
      </c>
      <c r="P29">
        <f>IF(N29="","",IF(N29&lt;3,"空仓观望",IF(N29&lt;5,"1-2成试探",IF(N29&lt;7,"3-5成正常参与",IF(N29&lt;9,"5-8成积极参与","3成以下防守")))))</f>
        <v/>
      </c>
    </row>
    <row r="30">
      <c r="C30">
        <f>IF(B30="","",IF(B30&lt;20,1.5,IF(B30&lt;40,3.5,IF(B30&lt;70,5.5,IF(B30&lt;100,7.5,9.5)))))</f>
        <v/>
      </c>
      <c r="E30">
        <f>IF(D30="","",IF(D30&lt;40,2,IF(D30&lt;55,4.5,IF(D30&lt;70,6.5,IF(D30&lt;85,8.5,10)))))</f>
        <v/>
      </c>
      <c r="G30">
        <f>IF(F30="","",IF(F30&lt;-5,1,IF(F30&lt;-2,2.5,IF(F30&lt;0,4.5,IF(F30&lt;3,6.5,IF(F30&lt;6,8.5,10))))))</f>
        <v/>
      </c>
      <c r="I30">
        <f>IF(H30="","",IF(H30&lt;2,1,IF(H30&lt;3,3,IF(H30&lt;4,5,IF(H30&lt;6,7,IF(H30&lt;8,8,9.5))))))</f>
        <v/>
      </c>
      <c r="K30">
        <f>IF(J30="","",IF(J30&lt;0.3,1,IF(J30&lt;0.6,2.5,IF(J30&lt;1,4.5,IF(J30&lt;2,6.5,IF(J30&lt;3,8.5,10))))))</f>
        <v/>
      </c>
      <c r="M30">
        <f>IF(L30="","",IF(L30&gt;30,1,IF(L30&gt;20,2.5,IF(L30&gt;10,4.5,IF(L30&gt;5,6.5,IF(L30&gt;0,8.5,10))))))</f>
        <v/>
      </c>
      <c r="N30">
        <f>IF(C30="","",ROUND(C30*0.15+E30*0.15+G30*0.25+I30*0.15+K30*0.15+M30*0.15,1))</f>
        <v/>
      </c>
      <c r="O30">
        <f>IF(N30="","",IF(N30&lt;3,"冰点期",IF(N30&lt;5,"退潮/修复期",IF(N30&lt;7,"回暖/上升期",IF(N30&lt;9,"高潮期","极度亢奋")))))</f>
        <v/>
      </c>
      <c r="P30">
        <f>IF(N30="","",IF(N30&lt;3,"空仓观望",IF(N30&lt;5,"1-2成试探",IF(N30&lt;7,"3-5成正常参与",IF(N30&lt;9,"5-8成积极参与","3成以下防守")))))</f>
        <v/>
      </c>
    </row>
    <row r="31">
      <c r="C31">
        <f>IF(B31="","",IF(B31&lt;20,1.5,IF(B31&lt;40,3.5,IF(B31&lt;70,5.5,IF(B31&lt;100,7.5,9.5)))))</f>
        <v/>
      </c>
      <c r="E31">
        <f>IF(D31="","",IF(D31&lt;40,2,IF(D31&lt;55,4.5,IF(D31&lt;70,6.5,IF(D31&lt;85,8.5,10)))))</f>
        <v/>
      </c>
      <c r="G31">
        <f>IF(F31="","",IF(F31&lt;-5,1,IF(F31&lt;-2,2.5,IF(F31&lt;0,4.5,IF(F31&lt;3,6.5,IF(F31&lt;6,8.5,10))))))</f>
        <v/>
      </c>
      <c r="I31">
        <f>IF(H31="","",IF(H31&lt;2,1,IF(H31&lt;3,3,IF(H31&lt;4,5,IF(H31&lt;6,7,IF(H31&lt;8,8,9.5))))))</f>
        <v/>
      </c>
      <c r="K31">
        <f>IF(J31="","",IF(J31&lt;0.3,1,IF(J31&lt;0.6,2.5,IF(J31&lt;1,4.5,IF(J31&lt;2,6.5,IF(J31&lt;3,8.5,10))))))</f>
        <v/>
      </c>
      <c r="M31">
        <f>IF(L31="","",IF(L31&gt;30,1,IF(L31&gt;20,2.5,IF(L31&gt;10,4.5,IF(L31&gt;5,6.5,IF(L31&gt;0,8.5,10))))))</f>
        <v/>
      </c>
      <c r="N31">
        <f>IF(C31="","",ROUND(C31*0.15+E31*0.15+G31*0.25+I31*0.15+K31*0.15+M31*0.15,1))</f>
        <v/>
      </c>
      <c r="O31">
        <f>IF(N31="","",IF(N31&lt;3,"冰点期",IF(N31&lt;5,"退潮/修复期",IF(N31&lt;7,"回暖/上升期",IF(N31&lt;9,"高潮期","极度亢奋")))))</f>
        <v/>
      </c>
      <c r="P31">
        <f>IF(N31="","",IF(N31&lt;3,"空仓观望",IF(N31&lt;5,"1-2成试探",IF(N31&lt;7,"3-5成正常参与",IF(N31&lt;9,"5-8成积极参与","3成以下防守")))))</f>
        <v/>
      </c>
    </row>
    <row r="32">
      <c r="C32">
        <f>IF(B32="","",IF(B32&lt;20,1.5,IF(B32&lt;40,3.5,IF(B32&lt;70,5.5,IF(B32&lt;100,7.5,9.5)))))</f>
        <v/>
      </c>
      <c r="E32">
        <f>IF(D32="","",IF(D32&lt;40,2,IF(D32&lt;55,4.5,IF(D32&lt;70,6.5,IF(D32&lt;85,8.5,10)))))</f>
        <v/>
      </c>
      <c r="G32">
        <f>IF(F32="","",IF(F32&lt;-5,1,IF(F32&lt;-2,2.5,IF(F32&lt;0,4.5,IF(F32&lt;3,6.5,IF(F32&lt;6,8.5,10))))))</f>
        <v/>
      </c>
      <c r="I32">
        <f>IF(H32="","",IF(H32&lt;2,1,IF(H32&lt;3,3,IF(H32&lt;4,5,IF(H32&lt;6,7,IF(H32&lt;8,8,9.5))))))</f>
        <v/>
      </c>
      <c r="K32">
        <f>IF(J32="","",IF(J32&lt;0.3,1,IF(J32&lt;0.6,2.5,IF(J32&lt;1,4.5,IF(J32&lt;2,6.5,IF(J32&lt;3,8.5,10))))))</f>
        <v/>
      </c>
      <c r="M32">
        <f>IF(L32="","",IF(L32&gt;30,1,IF(L32&gt;20,2.5,IF(L32&gt;10,4.5,IF(L32&gt;5,6.5,IF(L32&gt;0,8.5,10))))))</f>
        <v/>
      </c>
      <c r="N32">
        <f>IF(C32="","",ROUND(C32*0.15+E32*0.15+G32*0.25+I32*0.15+K32*0.15+M32*0.15,1))</f>
        <v/>
      </c>
      <c r="O32">
        <f>IF(N32="","",IF(N32&lt;3,"冰点期",IF(N32&lt;5,"退潮/修复期",IF(N32&lt;7,"回暖/上升期",IF(N32&lt;9,"高潮期","极度亢奋")))))</f>
        <v/>
      </c>
      <c r="P32">
        <f>IF(N32="","",IF(N32&lt;3,"空仓观望",IF(N32&lt;5,"1-2成试探",IF(N32&lt;7,"3-5成正常参与",IF(N32&lt;9,"5-8成积极参与","3成以下防守")))))</f>
        <v/>
      </c>
    </row>
    <row r="33">
      <c r="C33">
        <f>IF(B33="","",IF(B33&lt;20,1.5,IF(B33&lt;40,3.5,IF(B33&lt;70,5.5,IF(B33&lt;100,7.5,9.5)))))</f>
        <v/>
      </c>
      <c r="E33">
        <f>IF(D33="","",IF(D33&lt;40,2,IF(D33&lt;55,4.5,IF(D33&lt;70,6.5,IF(D33&lt;85,8.5,10)))))</f>
        <v/>
      </c>
      <c r="G33">
        <f>IF(F33="","",IF(F33&lt;-5,1,IF(F33&lt;-2,2.5,IF(F33&lt;0,4.5,IF(F33&lt;3,6.5,IF(F33&lt;6,8.5,10))))))</f>
        <v/>
      </c>
      <c r="I33">
        <f>IF(H33="","",IF(H33&lt;2,1,IF(H33&lt;3,3,IF(H33&lt;4,5,IF(H33&lt;6,7,IF(H33&lt;8,8,9.5))))))</f>
        <v/>
      </c>
      <c r="K33">
        <f>IF(J33="","",IF(J33&lt;0.3,1,IF(J33&lt;0.6,2.5,IF(J33&lt;1,4.5,IF(J33&lt;2,6.5,IF(J33&lt;3,8.5,10))))))</f>
        <v/>
      </c>
      <c r="M33">
        <f>IF(L33="","",IF(L33&gt;30,1,IF(L33&gt;20,2.5,IF(L33&gt;10,4.5,IF(L33&gt;5,6.5,IF(L33&gt;0,8.5,10))))))</f>
        <v/>
      </c>
      <c r="N33">
        <f>IF(C33="","",ROUND(C33*0.15+E33*0.15+G33*0.25+I33*0.15+K33*0.15+M33*0.15,1))</f>
        <v/>
      </c>
      <c r="O33">
        <f>IF(N33="","",IF(N33&lt;3,"冰点期",IF(N33&lt;5,"退潮/修复期",IF(N33&lt;7,"回暖/上升期",IF(N33&lt;9,"高潮期","极度亢奋")))))</f>
        <v/>
      </c>
      <c r="P33">
        <f>IF(N33="","",IF(N33&lt;3,"空仓观望",IF(N33&lt;5,"1-2成试探",IF(N33&lt;7,"3-5成正常参与",IF(N33&lt;9,"5-8成积极参与","3成以下防守")))))</f>
        <v/>
      </c>
    </row>
    <row r="34">
      <c r="C34">
        <f>IF(B34="","",IF(B34&lt;20,1.5,IF(B34&lt;40,3.5,IF(B34&lt;70,5.5,IF(B34&lt;100,7.5,9.5)))))</f>
        <v/>
      </c>
      <c r="E34">
        <f>IF(D34="","",IF(D34&lt;40,2,IF(D34&lt;55,4.5,IF(D34&lt;70,6.5,IF(D34&lt;85,8.5,10)))))</f>
        <v/>
      </c>
      <c r="G34">
        <f>IF(F34="","",IF(F34&lt;-5,1,IF(F34&lt;-2,2.5,IF(F34&lt;0,4.5,IF(F34&lt;3,6.5,IF(F34&lt;6,8.5,10))))))</f>
        <v/>
      </c>
      <c r="I34">
        <f>IF(H34="","",IF(H34&lt;2,1,IF(H34&lt;3,3,IF(H34&lt;4,5,IF(H34&lt;6,7,IF(H34&lt;8,8,9.5))))))</f>
        <v/>
      </c>
      <c r="K34">
        <f>IF(J34="","",IF(J34&lt;0.3,1,IF(J34&lt;0.6,2.5,IF(J34&lt;1,4.5,IF(J34&lt;2,6.5,IF(J34&lt;3,8.5,10))))))</f>
        <v/>
      </c>
      <c r="M34">
        <f>IF(L34="","",IF(L34&gt;30,1,IF(L34&gt;20,2.5,IF(L34&gt;10,4.5,IF(L34&gt;5,6.5,IF(L34&gt;0,8.5,10))))))</f>
        <v/>
      </c>
      <c r="N34">
        <f>IF(C34="","",ROUND(C34*0.15+E34*0.15+G34*0.25+I34*0.15+K34*0.15+M34*0.15,1))</f>
        <v/>
      </c>
      <c r="O34">
        <f>IF(N34="","",IF(N34&lt;3,"冰点期",IF(N34&lt;5,"退潮/修复期",IF(N34&lt;7,"回暖/上升期",IF(N34&lt;9,"高潮期","极度亢奋")))))</f>
        <v/>
      </c>
      <c r="P34">
        <f>IF(N34="","",IF(N34&lt;3,"空仓观望",IF(N34&lt;5,"1-2成试探",IF(N34&lt;7,"3-5成正常参与",IF(N34&lt;9,"5-8成积极参与","3成以下防守")))))</f>
        <v/>
      </c>
    </row>
    <row r="35">
      <c r="C35">
        <f>IF(B35="","",IF(B35&lt;20,1.5,IF(B35&lt;40,3.5,IF(B35&lt;70,5.5,IF(B35&lt;100,7.5,9.5)))))</f>
        <v/>
      </c>
      <c r="E35">
        <f>IF(D35="","",IF(D35&lt;40,2,IF(D35&lt;55,4.5,IF(D35&lt;70,6.5,IF(D35&lt;85,8.5,10)))))</f>
        <v/>
      </c>
      <c r="G35">
        <f>IF(F35="","",IF(F35&lt;-5,1,IF(F35&lt;-2,2.5,IF(F35&lt;0,4.5,IF(F35&lt;3,6.5,IF(F35&lt;6,8.5,10))))))</f>
        <v/>
      </c>
      <c r="I35">
        <f>IF(H35="","",IF(H35&lt;2,1,IF(H35&lt;3,3,IF(H35&lt;4,5,IF(H35&lt;6,7,IF(H35&lt;8,8,9.5))))))</f>
        <v/>
      </c>
      <c r="K35">
        <f>IF(J35="","",IF(J35&lt;0.3,1,IF(J35&lt;0.6,2.5,IF(J35&lt;1,4.5,IF(J35&lt;2,6.5,IF(J35&lt;3,8.5,10))))))</f>
        <v/>
      </c>
      <c r="M35">
        <f>IF(L35="","",IF(L35&gt;30,1,IF(L35&gt;20,2.5,IF(L35&gt;10,4.5,IF(L35&gt;5,6.5,IF(L35&gt;0,8.5,10))))))</f>
        <v/>
      </c>
      <c r="N35">
        <f>IF(C35="","",ROUND(C35*0.15+E35*0.15+G35*0.25+I35*0.15+K35*0.15+M35*0.15,1))</f>
        <v/>
      </c>
      <c r="O35">
        <f>IF(N35="","",IF(N35&lt;3,"冰点期",IF(N35&lt;5,"退潮/修复期",IF(N35&lt;7,"回暖/上升期",IF(N35&lt;9,"高潮期","极度亢奋")))))</f>
        <v/>
      </c>
      <c r="P35">
        <f>IF(N35="","",IF(N35&lt;3,"空仓观望",IF(N35&lt;5,"1-2成试探",IF(N35&lt;7,"3-5成正常参与",IF(N35&lt;9,"5-8成积极参与","3成以下防守")))))</f>
        <v/>
      </c>
    </row>
    <row r="36">
      <c r="C36">
        <f>IF(B36="","",IF(B36&lt;20,1.5,IF(B36&lt;40,3.5,IF(B36&lt;70,5.5,IF(B36&lt;100,7.5,9.5)))))</f>
        <v/>
      </c>
      <c r="E36">
        <f>IF(D36="","",IF(D36&lt;40,2,IF(D36&lt;55,4.5,IF(D36&lt;70,6.5,IF(D36&lt;85,8.5,10)))))</f>
        <v/>
      </c>
      <c r="G36">
        <f>IF(F36="","",IF(F36&lt;-5,1,IF(F36&lt;-2,2.5,IF(F36&lt;0,4.5,IF(F36&lt;3,6.5,IF(F36&lt;6,8.5,10))))))</f>
        <v/>
      </c>
      <c r="I36">
        <f>IF(H36="","",IF(H36&lt;2,1,IF(H36&lt;3,3,IF(H36&lt;4,5,IF(H36&lt;6,7,IF(H36&lt;8,8,9.5))))))</f>
        <v/>
      </c>
      <c r="K36">
        <f>IF(J36="","",IF(J36&lt;0.3,1,IF(J36&lt;0.6,2.5,IF(J36&lt;1,4.5,IF(J36&lt;2,6.5,IF(J36&lt;3,8.5,10))))))</f>
        <v/>
      </c>
      <c r="M36">
        <f>IF(L36="","",IF(L36&gt;30,1,IF(L36&gt;20,2.5,IF(L36&gt;10,4.5,IF(L36&gt;5,6.5,IF(L36&gt;0,8.5,10))))))</f>
        <v/>
      </c>
      <c r="N36">
        <f>IF(C36="","",ROUND(C36*0.15+E36*0.15+G36*0.25+I36*0.15+K36*0.15+M36*0.15,1))</f>
        <v/>
      </c>
      <c r="O36">
        <f>IF(N36="","",IF(N36&lt;3,"冰点期",IF(N36&lt;5,"退潮/修复期",IF(N36&lt;7,"回暖/上升期",IF(N36&lt;9,"高潮期","极度亢奋")))))</f>
        <v/>
      </c>
      <c r="P36">
        <f>IF(N36="","",IF(N36&lt;3,"空仓观望",IF(N36&lt;5,"1-2成试探",IF(N36&lt;7,"3-5成正常参与",IF(N36&lt;9,"5-8成积极参与","3成以下防守")))))</f>
        <v/>
      </c>
    </row>
    <row r="37">
      <c r="C37">
        <f>IF(B37="","",IF(B37&lt;20,1.5,IF(B37&lt;40,3.5,IF(B37&lt;70,5.5,IF(B37&lt;100,7.5,9.5)))))</f>
        <v/>
      </c>
      <c r="E37">
        <f>IF(D37="","",IF(D37&lt;40,2,IF(D37&lt;55,4.5,IF(D37&lt;70,6.5,IF(D37&lt;85,8.5,10)))))</f>
        <v/>
      </c>
      <c r="G37">
        <f>IF(F37="","",IF(F37&lt;-5,1,IF(F37&lt;-2,2.5,IF(F37&lt;0,4.5,IF(F37&lt;3,6.5,IF(F37&lt;6,8.5,10))))))</f>
        <v/>
      </c>
      <c r="I37">
        <f>IF(H37="","",IF(H37&lt;2,1,IF(H37&lt;3,3,IF(H37&lt;4,5,IF(H37&lt;6,7,IF(H37&lt;8,8,9.5))))))</f>
        <v/>
      </c>
      <c r="K37">
        <f>IF(J37="","",IF(J37&lt;0.3,1,IF(J37&lt;0.6,2.5,IF(J37&lt;1,4.5,IF(J37&lt;2,6.5,IF(J37&lt;3,8.5,10))))))</f>
        <v/>
      </c>
      <c r="M37">
        <f>IF(L37="","",IF(L37&gt;30,1,IF(L37&gt;20,2.5,IF(L37&gt;10,4.5,IF(L37&gt;5,6.5,IF(L37&gt;0,8.5,10))))))</f>
        <v/>
      </c>
      <c r="N37">
        <f>IF(C37="","",ROUND(C37*0.15+E37*0.15+G37*0.25+I37*0.15+K37*0.15+M37*0.15,1))</f>
        <v/>
      </c>
      <c r="O37">
        <f>IF(N37="","",IF(N37&lt;3,"冰点期",IF(N37&lt;5,"退潮/修复期",IF(N37&lt;7,"回暖/上升期",IF(N37&lt;9,"高潮期","极度亢奋")))))</f>
        <v/>
      </c>
      <c r="P37">
        <f>IF(N37="","",IF(N37&lt;3,"空仓观望",IF(N37&lt;5,"1-2成试探",IF(N37&lt;7,"3-5成正常参与",IF(N37&lt;9,"5-8成积极参与","3成以下防守")))))</f>
        <v/>
      </c>
    </row>
    <row r="38">
      <c r="C38">
        <f>IF(B38="","",IF(B38&lt;20,1.5,IF(B38&lt;40,3.5,IF(B38&lt;70,5.5,IF(B38&lt;100,7.5,9.5)))))</f>
        <v/>
      </c>
      <c r="E38">
        <f>IF(D38="","",IF(D38&lt;40,2,IF(D38&lt;55,4.5,IF(D38&lt;70,6.5,IF(D38&lt;85,8.5,10)))))</f>
        <v/>
      </c>
      <c r="G38">
        <f>IF(F38="","",IF(F38&lt;-5,1,IF(F38&lt;-2,2.5,IF(F38&lt;0,4.5,IF(F38&lt;3,6.5,IF(F38&lt;6,8.5,10))))))</f>
        <v/>
      </c>
      <c r="I38">
        <f>IF(H38="","",IF(H38&lt;2,1,IF(H38&lt;3,3,IF(H38&lt;4,5,IF(H38&lt;6,7,IF(H38&lt;8,8,9.5))))))</f>
        <v/>
      </c>
      <c r="K38">
        <f>IF(J38="","",IF(J38&lt;0.3,1,IF(J38&lt;0.6,2.5,IF(J38&lt;1,4.5,IF(J38&lt;2,6.5,IF(J38&lt;3,8.5,10))))))</f>
        <v/>
      </c>
      <c r="M38">
        <f>IF(L38="","",IF(L38&gt;30,1,IF(L38&gt;20,2.5,IF(L38&gt;10,4.5,IF(L38&gt;5,6.5,IF(L38&gt;0,8.5,10))))))</f>
        <v/>
      </c>
      <c r="N38">
        <f>IF(C38="","",ROUND(C38*0.15+E38*0.15+G38*0.25+I38*0.15+K38*0.15+M38*0.15,1))</f>
        <v/>
      </c>
      <c r="O38">
        <f>IF(N38="","",IF(N38&lt;3,"冰点期",IF(N38&lt;5,"退潮/修复期",IF(N38&lt;7,"回暖/上升期",IF(N38&lt;9,"高潮期","极度亢奋")))))</f>
        <v/>
      </c>
      <c r="P38">
        <f>IF(N38="","",IF(N38&lt;3,"空仓观望",IF(N38&lt;5,"1-2成试探",IF(N38&lt;7,"3-5成正常参与",IF(N38&lt;9,"5-8成积极参与","3成以下防守")))))</f>
        <v/>
      </c>
    </row>
    <row r="39">
      <c r="C39">
        <f>IF(B39="","",IF(B39&lt;20,1.5,IF(B39&lt;40,3.5,IF(B39&lt;70,5.5,IF(B39&lt;100,7.5,9.5)))))</f>
        <v/>
      </c>
      <c r="E39">
        <f>IF(D39="","",IF(D39&lt;40,2,IF(D39&lt;55,4.5,IF(D39&lt;70,6.5,IF(D39&lt;85,8.5,10)))))</f>
        <v/>
      </c>
      <c r="G39">
        <f>IF(F39="","",IF(F39&lt;-5,1,IF(F39&lt;-2,2.5,IF(F39&lt;0,4.5,IF(F39&lt;3,6.5,IF(F39&lt;6,8.5,10))))))</f>
        <v/>
      </c>
      <c r="I39">
        <f>IF(H39="","",IF(H39&lt;2,1,IF(H39&lt;3,3,IF(H39&lt;4,5,IF(H39&lt;6,7,IF(H39&lt;8,8,9.5))))))</f>
        <v/>
      </c>
      <c r="K39">
        <f>IF(J39="","",IF(J39&lt;0.3,1,IF(J39&lt;0.6,2.5,IF(J39&lt;1,4.5,IF(J39&lt;2,6.5,IF(J39&lt;3,8.5,10))))))</f>
        <v/>
      </c>
      <c r="M39">
        <f>IF(L39="","",IF(L39&gt;30,1,IF(L39&gt;20,2.5,IF(L39&gt;10,4.5,IF(L39&gt;5,6.5,IF(L39&gt;0,8.5,10))))))</f>
        <v/>
      </c>
      <c r="N39">
        <f>IF(C39="","",ROUND(C39*0.15+E39*0.15+G39*0.25+I39*0.15+K39*0.15+M39*0.15,1))</f>
        <v/>
      </c>
      <c r="O39">
        <f>IF(N39="","",IF(N39&lt;3,"冰点期",IF(N39&lt;5,"退潮/修复期",IF(N39&lt;7,"回暖/上升期",IF(N39&lt;9,"高潮期","极度亢奋")))))</f>
        <v/>
      </c>
      <c r="P39">
        <f>IF(N39="","",IF(N39&lt;3,"空仓观望",IF(N39&lt;5,"1-2成试探",IF(N39&lt;7,"3-5成正常参与",IF(N39&lt;9,"5-8成积极参与","3成以下防守")))))</f>
        <v/>
      </c>
    </row>
    <row r="40">
      <c r="C40">
        <f>IF(B40="","",IF(B40&lt;20,1.5,IF(B40&lt;40,3.5,IF(B40&lt;70,5.5,IF(B40&lt;100,7.5,9.5)))))</f>
        <v/>
      </c>
      <c r="E40">
        <f>IF(D40="","",IF(D40&lt;40,2,IF(D40&lt;55,4.5,IF(D40&lt;70,6.5,IF(D40&lt;85,8.5,10)))))</f>
        <v/>
      </c>
      <c r="G40">
        <f>IF(F40="","",IF(F40&lt;-5,1,IF(F40&lt;-2,2.5,IF(F40&lt;0,4.5,IF(F40&lt;3,6.5,IF(F40&lt;6,8.5,10))))))</f>
        <v/>
      </c>
      <c r="I40">
        <f>IF(H40="","",IF(H40&lt;2,1,IF(H40&lt;3,3,IF(H40&lt;4,5,IF(H40&lt;6,7,IF(H40&lt;8,8,9.5))))))</f>
        <v/>
      </c>
      <c r="K40">
        <f>IF(J40="","",IF(J40&lt;0.3,1,IF(J40&lt;0.6,2.5,IF(J40&lt;1,4.5,IF(J40&lt;2,6.5,IF(J40&lt;3,8.5,10))))))</f>
        <v/>
      </c>
      <c r="M40">
        <f>IF(L40="","",IF(L40&gt;30,1,IF(L40&gt;20,2.5,IF(L40&gt;10,4.5,IF(L40&gt;5,6.5,IF(L40&gt;0,8.5,10))))))</f>
        <v/>
      </c>
      <c r="N40">
        <f>IF(C40="","",ROUND(C40*0.15+E40*0.15+G40*0.25+I40*0.15+K40*0.15+M40*0.15,1))</f>
        <v/>
      </c>
      <c r="O40">
        <f>IF(N40="","",IF(N40&lt;3,"冰点期",IF(N40&lt;5,"退潮/修复期",IF(N40&lt;7,"回暖/上升期",IF(N40&lt;9,"高潮期","极度亢奋")))))</f>
        <v/>
      </c>
      <c r="P40">
        <f>IF(N40="","",IF(N40&lt;3,"空仓观望",IF(N40&lt;5,"1-2成试探",IF(N40&lt;7,"3-5成正常参与",IF(N40&lt;9,"5-8成积极参与","3成以下防守")))))</f>
        <v/>
      </c>
    </row>
    <row r="41">
      <c r="C41">
        <f>IF(B41="","",IF(B41&lt;20,1.5,IF(B41&lt;40,3.5,IF(B41&lt;70,5.5,IF(B41&lt;100,7.5,9.5)))))</f>
        <v/>
      </c>
      <c r="E41">
        <f>IF(D41="","",IF(D41&lt;40,2,IF(D41&lt;55,4.5,IF(D41&lt;70,6.5,IF(D41&lt;85,8.5,10)))))</f>
        <v/>
      </c>
      <c r="G41">
        <f>IF(F41="","",IF(F41&lt;-5,1,IF(F41&lt;-2,2.5,IF(F41&lt;0,4.5,IF(F41&lt;3,6.5,IF(F41&lt;6,8.5,10))))))</f>
        <v/>
      </c>
      <c r="I41">
        <f>IF(H41="","",IF(H41&lt;2,1,IF(H41&lt;3,3,IF(H41&lt;4,5,IF(H41&lt;6,7,IF(H41&lt;8,8,9.5))))))</f>
        <v/>
      </c>
      <c r="K41">
        <f>IF(J41="","",IF(J41&lt;0.3,1,IF(J41&lt;0.6,2.5,IF(J41&lt;1,4.5,IF(J41&lt;2,6.5,IF(J41&lt;3,8.5,10))))))</f>
        <v/>
      </c>
      <c r="M41">
        <f>IF(L41="","",IF(L41&gt;30,1,IF(L41&gt;20,2.5,IF(L41&gt;10,4.5,IF(L41&gt;5,6.5,IF(L41&gt;0,8.5,10))))))</f>
        <v/>
      </c>
      <c r="N41">
        <f>IF(C41="","",ROUND(C41*0.15+E41*0.15+G41*0.25+I41*0.15+K41*0.15+M41*0.15,1))</f>
        <v/>
      </c>
      <c r="O41">
        <f>IF(N41="","",IF(N41&lt;3,"冰点期",IF(N41&lt;5,"退潮/修复期",IF(N41&lt;7,"回暖/上升期",IF(N41&lt;9,"高潮期","极度亢奋")))))</f>
        <v/>
      </c>
      <c r="P41">
        <f>IF(N41="","",IF(N41&lt;3,"空仓观望",IF(N41&lt;5,"1-2成试探",IF(N41&lt;7,"3-5成正常参与",IF(N41&lt;9,"5-8成积极参与","3成以下防守")))))</f>
        <v/>
      </c>
    </row>
    <row r="42">
      <c r="C42">
        <f>IF(B42="","",IF(B42&lt;20,1.5,IF(B42&lt;40,3.5,IF(B42&lt;70,5.5,IF(B42&lt;100,7.5,9.5)))))</f>
        <v/>
      </c>
      <c r="E42">
        <f>IF(D42="","",IF(D42&lt;40,2,IF(D42&lt;55,4.5,IF(D42&lt;70,6.5,IF(D42&lt;85,8.5,10)))))</f>
        <v/>
      </c>
      <c r="G42">
        <f>IF(F42="","",IF(F42&lt;-5,1,IF(F42&lt;-2,2.5,IF(F42&lt;0,4.5,IF(F42&lt;3,6.5,IF(F42&lt;6,8.5,10))))))</f>
        <v/>
      </c>
      <c r="I42">
        <f>IF(H42="","",IF(H42&lt;2,1,IF(H42&lt;3,3,IF(H42&lt;4,5,IF(H42&lt;6,7,IF(H42&lt;8,8,9.5))))))</f>
        <v/>
      </c>
      <c r="K42">
        <f>IF(J42="","",IF(J42&lt;0.3,1,IF(J42&lt;0.6,2.5,IF(J42&lt;1,4.5,IF(J42&lt;2,6.5,IF(J42&lt;3,8.5,10))))))</f>
        <v/>
      </c>
      <c r="M42">
        <f>IF(L42="","",IF(L42&gt;30,1,IF(L42&gt;20,2.5,IF(L42&gt;10,4.5,IF(L42&gt;5,6.5,IF(L42&gt;0,8.5,10))))))</f>
        <v/>
      </c>
      <c r="N42">
        <f>IF(C42="","",ROUND(C42*0.15+E42*0.15+G42*0.25+I42*0.15+K42*0.15+M42*0.15,1))</f>
        <v/>
      </c>
      <c r="O42">
        <f>IF(N42="","",IF(N42&lt;3,"冰点期",IF(N42&lt;5,"退潮/修复期",IF(N42&lt;7,"回暖/上升期",IF(N42&lt;9,"高潮期","极度亢奋")))))</f>
        <v/>
      </c>
      <c r="P42">
        <f>IF(N42="","",IF(N42&lt;3,"空仓观望",IF(N42&lt;5,"1-2成试探",IF(N42&lt;7,"3-5成正常参与",IF(N42&lt;9,"5-8成积极参与","3成以下防守")))))</f>
        <v/>
      </c>
    </row>
    <row r="43">
      <c r="C43">
        <f>IF(B43="","",IF(B43&lt;20,1.5,IF(B43&lt;40,3.5,IF(B43&lt;70,5.5,IF(B43&lt;100,7.5,9.5)))))</f>
        <v/>
      </c>
      <c r="E43">
        <f>IF(D43="","",IF(D43&lt;40,2,IF(D43&lt;55,4.5,IF(D43&lt;70,6.5,IF(D43&lt;85,8.5,10)))))</f>
        <v/>
      </c>
      <c r="G43">
        <f>IF(F43="","",IF(F43&lt;-5,1,IF(F43&lt;-2,2.5,IF(F43&lt;0,4.5,IF(F43&lt;3,6.5,IF(F43&lt;6,8.5,10))))))</f>
        <v/>
      </c>
      <c r="I43">
        <f>IF(H43="","",IF(H43&lt;2,1,IF(H43&lt;3,3,IF(H43&lt;4,5,IF(H43&lt;6,7,IF(H43&lt;8,8,9.5))))))</f>
        <v/>
      </c>
      <c r="K43">
        <f>IF(J43="","",IF(J43&lt;0.3,1,IF(J43&lt;0.6,2.5,IF(J43&lt;1,4.5,IF(J43&lt;2,6.5,IF(J43&lt;3,8.5,10))))))</f>
        <v/>
      </c>
      <c r="M43">
        <f>IF(L43="","",IF(L43&gt;30,1,IF(L43&gt;20,2.5,IF(L43&gt;10,4.5,IF(L43&gt;5,6.5,IF(L43&gt;0,8.5,10))))))</f>
        <v/>
      </c>
      <c r="N43">
        <f>IF(C43="","",ROUND(C43*0.15+E43*0.15+G43*0.25+I43*0.15+K43*0.15+M43*0.15,1))</f>
        <v/>
      </c>
      <c r="O43">
        <f>IF(N43="","",IF(N43&lt;3,"冰点期",IF(N43&lt;5,"退潮/修复期",IF(N43&lt;7,"回暖/上升期",IF(N43&lt;9,"高潮期","极度亢奋")))))</f>
        <v/>
      </c>
      <c r="P43">
        <f>IF(N43="","",IF(N43&lt;3,"空仓观望",IF(N43&lt;5,"1-2成试探",IF(N43&lt;7,"3-5成正常参与",IF(N43&lt;9,"5-8成积极参与","3成以下防守")))))</f>
        <v/>
      </c>
    </row>
    <row r="44">
      <c r="C44">
        <f>IF(B44="","",IF(B44&lt;20,1.5,IF(B44&lt;40,3.5,IF(B44&lt;70,5.5,IF(B44&lt;100,7.5,9.5)))))</f>
        <v/>
      </c>
      <c r="E44">
        <f>IF(D44="","",IF(D44&lt;40,2,IF(D44&lt;55,4.5,IF(D44&lt;70,6.5,IF(D44&lt;85,8.5,10)))))</f>
        <v/>
      </c>
      <c r="G44">
        <f>IF(F44="","",IF(F44&lt;-5,1,IF(F44&lt;-2,2.5,IF(F44&lt;0,4.5,IF(F44&lt;3,6.5,IF(F44&lt;6,8.5,10))))))</f>
        <v/>
      </c>
      <c r="I44">
        <f>IF(H44="","",IF(H44&lt;2,1,IF(H44&lt;3,3,IF(H44&lt;4,5,IF(H44&lt;6,7,IF(H44&lt;8,8,9.5))))))</f>
        <v/>
      </c>
      <c r="K44">
        <f>IF(J44="","",IF(J44&lt;0.3,1,IF(J44&lt;0.6,2.5,IF(J44&lt;1,4.5,IF(J44&lt;2,6.5,IF(J44&lt;3,8.5,10))))))</f>
        <v/>
      </c>
      <c r="M44">
        <f>IF(L44="","",IF(L44&gt;30,1,IF(L44&gt;20,2.5,IF(L44&gt;10,4.5,IF(L44&gt;5,6.5,IF(L44&gt;0,8.5,10))))))</f>
        <v/>
      </c>
      <c r="N44">
        <f>IF(C44="","",ROUND(C44*0.15+E44*0.15+G44*0.25+I44*0.15+K44*0.15+M44*0.15,1))</f>
        <v/>
      </c>
      <c r="O44">
        <f>IF(N44="","",IF(N44&lt;3,"冰点期",IF(N44&lt;5,"退潮/修复期",IF(N44&lt;7,"回暖/上升期",IF(N44&lt;9,"高潮期","极度亢奋")))))</f>
        <v/>
      </c>
      <c r="P44">
        <f>IF(N44="","",IF(N44&lt;3,"空仓观望",IF(N44&lt;5,"1-2成试探",IF(N44&lt;7,"3-5成正常参与",IF(N44&lt;9,"5-8成积极参与","3成以下防守")))))</f>
        <v/>
      </c>
    </row>
    <row r="45">
      <c r="C45">
        <f>IF(B45="","",IF(B45&lt;20,1.5,IF(B45&lt;40,3.5,IF(B45&lt;70,5.5,IF(B45&lt;100,7.5,9.5)))))</f>
        <v/>
      </c>
      <c r="E45">
        <f>IF(D45="","",IF(D45&lt;40,2,IF(D45&lt;55,4.5,IF(D45&lt;70,6.5,IF(D45&lt;85,8.5,10)))))</f>
        <v/>
      </c>
      <c r="G45">
        <f>IF(F45="","",IF(F45&lt;-5,1,IF(F45&lt;-2,2.5,IF(F45&lt;0,4.5,IF(F45&lt;3,6.5,IF(F45&lt;6,8.5,10))))))</f>
        <v/>
      </c>
      <c r="I45">
        <f>IF(H45="","",IF(H45&lt;2,1,IF(H45&lt;3,3,IF(H45&lt;4,5,IF(H45&lt;6,7,IF(H45&lt;8,8,9.5))))))</f>
        <v/>
      </c>
      <c r="K45">
        <f>IF(J45="","",IF(J45&lt;0.3,1,IF(J45&lt;0.6,2.5,IF(J45&lt;1,4.5,IF(J45&lt;2,6.5,IF(J45&lt;3,8.5,10))))))</f>
        <v/>
      </c>
      <c r="M45">
        <f>IF(L45="","",IF(L45&gt;30,1,IF(L45&gt;20,2.5,IF(L45&gt;10,4.5,IF(L45&gt;5,6.5,IF(L45&gt;0,8.5,10))))))</f>
        <v/>
      </c>
      <c r="N45">
        <f>IF(C45="","",ROUND(C45*0.15+E45*0.15+G45*0.25+I45*0.15+K45*0.15+M45*0.15,1))</f>
        <v/>
      </c>
      <c r="O45">
        <f>IF(N45="","",IF(N45&lt;3,"冰点期",IF(N45&lt;5,"退潮/修复期",IF(N45&lt;7,"回暖/上升期",IF(N45&lt;9,"高潮期","极度亢奋")))))</f>
        <v/>
      </c>
      <c r="P45">
        <f>IF(N45="","",IF(N45&lt;3,"空仓观望",IF(N45&lt;5,"1-2成试探",IF(N45&lt;7,"3-5成正常参与",IF(N45&lt;9,"5-8成积极参与","3成以下防守")))))</f>
        <v/>
      </c>
    </row>
    <row r="46">
      <c r="C46">
        <f>IF(B46="","",IF(B46&lt;20,1.5,IF(B46&lt;40,3.5,IF(B46&lt;70,5.5,IF(B46&lt;100,7.5,9.5)))))</f>
        <v/>
      </c>
      <c r="E46">
        <f>IF(D46="","",IF(D46&lt;40,2,IF(D46&lt;55,4.5,IF(D46&lt;70,6.5,IF(D46&lt;85,8.5,10)))))</f>
        <v/>
      </c>
      <c r="G46">
        <f>IF(F46="","",IF(F46&lt;-5,1,IF(F46&lt;-2,2.5,IF(F46&lt;0,4.5,IF(F46&lt;3,6.5,IF(F46&lt;6,8.5,10))))))</f>
        <v/>
      </c>
      <c r="I46">
        <f>IF(H46="","",IF(H46&lt;2,1,IF(H46&lt;3,3,IF(H46&lt;4,5,IF(H46&lt;6,7,IF(H46&lt;8,8,9.5))))))</f>
        <v/>
      </c>
      <c r="K46">
        <f>IF(J46="","",IF(J46&lt;0.3,1,IF(J46&lt;0.6,2.5,IF(J46&lt;1,4.5,IF(J46&lt;2,6.5,IF(J46&lt;3,8.5,10))))))</f>
        <v/>
      </c>
      <c r="M46">
        <f>IF(L46="","",IF(L46&gt;30,1,IF(L46&gt;20,2.5,IF(L46&gt;10,4.5,IF(L46&gt;5,6.5,IF(L46&gt;0,8.5,10))))))</f>
        <v/>
      </c>
      <c r="N46">
        <f>IF(C46="","",ROUND(C46*0.15+E46*0.15+G46*0.25+I46*0.15+K46*0.15+M46*0.15,1))</f>
        <v/>
      </c>
      <c r="O46">
        <f>IF(N46="","",IF(N46&lt;3,"冰点期",IF(N46&lt;5,"退潮/修复期",IF(N46&lt;7,"回暖/上升期",IF(N46&lt;9,"高潮期","极度亢奋")))))</f>
        <v/>
      </c>
      <c r="P46">
        <f>IF(N46="","",IF(N46&lt;3,"空仓观望",IF(N46&lt;5,"1-2成试探",IF(N46&lt;7,"3-5成正常参与",IF(N46&lt;9,"5-8成积极参与","3成以下防守")))))</f>
        <v/>
      </c>
    </row>
    <row r="47">
      <c r="C47">
        <f>IF(B47="","",IF(B47&lt;20,1.5,IF(B47&lt;40,3.5,IF(B47&lt;70,5.5,IF(B47&lt;100,7.5,9.5)))))</f>
        <v/>
      </c>
      <c r="E47">
        <f>IF(D47="","",IF(D47&lt;40,2,IF(D47&lt;55,4.5,IF(D47&lt;70,6.5,IF(D47&lt;85,8.5,10)))))</f>
        <v/>
      </c>
      <c r="G47">
        <f>IF(F47="","",IF(F47&lt;-5,1,IF(F47&lt;-2,2.5,IF(F47&lt;0,4.5,IF(F47&lt;3,6.5,IF(F47&lt;6,8.5,10))))))</f>
        <v/>
      </c>
      <c r="I47">
        <f>IF(H47="","",IF(H47&lt;2,1,IF(H47&lt;3,3,IF(H47&lt;4,5,IF(H47&lt;6,7,IF(H47&lt;8,8,9.5))))))</f>
        <v/>
      </c>
      <c r="K47">
        <f>IF(J47="","",IF(J47&lt;0.3,1,IF(J47&lt;0.6,2.5,IF(J47&lt;1,4.5,IF(J47&lt;2,6.5,IF(J47&lt;3,8.5,10))))))</f>
        <v/>
      </c>
      <c r="M47">
        <f>IF(L47="","",IF(L47&gt;30,1,IF(L47&gt;20,2.5,IF(L47&gt;10,4.5,IF(L47&gt;5,6.5,IF(L47&gt;0,8.5,10))))))</f>
        <v/>
      </c>
      <c r="N47">
        <f>IF(C47="","",ROUND(C47*0.15+E47*0.15+G47*0.25+I47*0.15+K47*0.15+M47*0.15,1))</f>
        <v/>
      </c>
      <c r="O47">
        <f>IF(N47="","",IF(N47&lt;3,"冰点期",IF(N47&lt;5,"退潮/修复期",IF(N47&lt;7,"回暖/上升期",IF(N47&lt;9,"高潮期","极度亢奋")))))</f>
        <v/>
      </c>
      <c r="P47">
        <f>IF(N47="","",IF(N47&lt;3,"空仓观望",IF(N47&lt;5,"1-2成试探",IF(N47&lt;7,"3-5成正常参与",IF(N47&lt;9,"5-8成积极参与","3成以下防守")))))</f>
        <v/>
      </c>
    </row>
    <row r="48">
      <c r="C48">
        <f>IF(B48="","",IF(B48&lt;20,1.5,IF(B48&lt;40,3.5,IF(B48&lt;70,5.5,IF(B48&lt;100,7.5,9.5)))))</f>
        <v/>
      </c>
      <c r="E48">
        <f>IF(D48="","",IF(D48&lt;40,2,IF(D48&lt;55,4.5,IF(D48&lt;70,6.5,IF(D48&lt;85,8.5,10)))))</f>
        <v/>
      </c>
      <c r="G48">
        <f>IF(F48="","",IF(F48&lt;-5,1,IF(F48&lt;-2,2.5,IF(F48&lt;0,4.5,IF(F48&lt;3,6.5,IF(F48&lt;6,8.5,10))))))</f>
        <v/>
      </c>
      <c r="I48">
        <f>IF(H48="","",IF(H48&lt;2,1,IF(H48&lt;3,3,IF(H48&lt;4,5,IF(H48&lt;6,7,IF(H48&lt;8,8,9.5))))))</f>
        <v/>
      </c>
      <c r="K48">
        <f>IF(J48="","",IF(J48&lt;0.3,1,IF(J48&lt;0.6,2.5,IF(J48&lt;1,4.5,IF(J48&lt;2,6.5,IF(J48&lt;3,8.5,10))))))</f>
        <v/>
      </c>
      <c r="M48">
        <f>IF(L48="","",IF(L48&gt;30,1,IF(L48&gt;20,2.5,IF(L48&gt;10,4.5,IF(L48&gt;5,6.5,IF(L48&gt;0,8.5,10))))))</f>
        <v/>
      </c>
      <c r="N48">
        <f>IF(C48="","",ROUND(C48*0.15+E48*0.15+G48*0.25+I48*0.15+K48*0.15+M48*0.15,1))</f>
        <v/>
      </c>
      <c r="O48">
        <f>IF(N48="","",IF(N48&lt;3,"冰点期",IF(N48&lt;5,"退潮/修复期",IF(N48&lt;7,"回暖/上升期",IF(N48&lt;9,"高潮期","极度亢奋")))))</f>
        <v/>
      </c>
      <c r="P48">
        <f>IF(N48="","",IF(N48&lt;3,"空仓观望",IF(N48&lt;5,"1-2成试探",IF(N48&lt;7,"3-5成正常参与",IF(N48&lt;9,"5-8成积极参与","3成以下防守")))))</f>
        <v/>
      </c>
    </row>
    <row r="49">
      <c r="C49">
        <f>IF(B49="","",IF(B49&lt;20,1.5,IF(B49&lt;40,3.5,IF(B49&lt;70,5.5,IF(B49&lt;100,7.5,9.5)))))</f>
        <v/>
      </c>
      <c r="E49">
        <f>IF(D49="","",IF(D49&lt;40,2,IF(D49&lt;55,4.5,IF(D49&lt;70,6.5,IF(D49&lt;85,8.5,10)))))</f>
        <v/>
      </c>
      <c r="G49">
        <f>IF(F49="","",IF(F49&lt;-5,1,IF(F49&lt;-2,2.5,IF(F49&lt;0,4.5,IF(F49&lt;3,6.5,IF(F49&lt;6,8.5,10))))))</f>
        <v/>
      </c>
      <c r="I49">
        <f>IF(H49="","",IF(H49&lt;2,1,IF(H49&lt;3,3,IF(H49&lt;4,5,IF(H49&lt;6,7,IF(H49&lt;8,8,9.5))))))</f>
        <v/>
      </c>
      <c r="K49">
        <f>IF(J49="","",IF(J49&lt;0.3,1,IF(J49&lt;0.6,2.5,IF(J49&lt;1,4.5,IF(J49&lt;2,6.5,IF(J49&lt;3,8.5,10))))))</f>
        <v/>
      </c>
      <c r="M49">
        <f>IF(L49="","",IF(L49&gt;30,1,IF(L49&gt;20,2.5,IF(L49&gt;10,4.5,IF(L49&gt;5,6.5,IF(L49&gt;0,8.5,10))))))</f>
        <v/>
      </c>
      <c r="N49">
        <f>IF(C49="","",ROUND(C49*0.15+E49*0.15+G49*0.25+I49*0.15+K49*0.15+M49*0.15,1))</f>
        <v/>
      </c>
      <c r="O49">
        <f>IF(N49="","",IF(N49&lt;3,"冰点期",IF(N49&lt;5,"退潮/修复期",IF(N49&lt;7,"回暖/上升期",IF(N49&lt;9,"高潮期","极度亢奋")))))</f>
        <v/>
      </c>
      <c r="P49">
        <f>IF(N49="","",IF(N49&lt;3,"空仓观望",IF(N49&lt;5,"1-2成试探",IF(N49&lt;7,"3-5成正常参与",IF(N49&lt;9,"5-8成积极参与","3成以下防守")))))</f>
        <v/>
      </c>
    </row>
    <row r="50">
      <c r="C50">
        <f>IF(B50="","",IF(B50&lt;20,1.5,IF(B50&lt;40,3.5,IF(B50&lt;70,5.5,IF(B50&lt;100,7.5,9.5)))))</f>
        <v/>
      </c>
      <c r="E50">
        <f>IF(D50="","",IF(D50&lt;40,2,IF(D50&lt;55,4.5,IF(D50&lt;70,6.5,IF(D50&lt;85,8.5,10)))))</f>
        <v/>
      </c>
      <c r="G50">
        <f>IF(F50="","",IF(F50&lt;-5,1,IF(F50&lt;-2,2.5,IF(F50&lt;0,4.5,IF(F50&lt;3,6.5,IF(F50&lt;6,8.5,10))))))</f>
        <v/>
      </c>
      <c r="I50">
        <f>IF(H50="","",IF(H50&lt;2,1,IF(H50&lt;3,3,IF(H50&lt;4,5,IF(H50&lt;6,7,IF(H50&lt;8,8,9.5))))))</f>
        <v/>
      </c>
      <c r="K50">
        <f>IF(J50="","",IF(J50&lt;0.3,1,IF(J50&lt;0.6,2.5,IF(J50&lt;1,4.5,IF(J50&lt;2,6.5,IF(J50&lt;3,8.5,10))))))</f>
        <v/>
      </c>
      <c r="M50">
        <f>IF(L50="","",IF(L50&gt;30,1,IF(L50&gt;20,2.5,IF(L50&gt;10,4.5,IF(L50&gt;5,6.5,IF(L50&gt;0,8.5,10))))))</f>
        <v/>
      </c>
      <c r="N50">
        <f>IF(C50="","",ROUND(C50*0.15+E50*0.15+G50*0.25+I50*0.15+K50*0.15+M50*0.15,1))</f>
        <v/>
      </c>
      <c r="O50">
        <f>IF(N50="","",IF(N50&lt;3,"冰点期",IF(N50&lt;5,"退潮/修复期",IF(N50&lt;7,"回暖/上升期",IF(N50&lt;9,"高潮期","极度亢奋")))))</f>
        <v/>
      </c>
      <c r="P50">
        <f>IF(N50="","",IF(N50&lt;3,"空仓观望",IF(N50&lt;5,"1-2成试探",IF(N50&lt;7,"3-5成正常参与",IF(N50&lt;9,"5-8成积极参与","3成以下防守")))))</f>
        <v/>
      </c>
    </row>
    <row r="51">
      <c r="C51">
        <f>IF(B51="","",IF(B51&lt;20,1.5,IF(B51&lt;40,3.5,IF(B51&lt;70,5.5,IF(B51&lt;100,7.5,9.5)))))</f>
        <v/>
      </c>
      <c r="E51">
        <f>IF(D51="","",IF(D51&lt;40,2,IF(D51&lt;55,4.5,IF(D51&lt;70,6.5,IF(D51&lt;85,8.5,10)))))</f>
        <v/>
      </c>
      <c r="G51">
        <f>IF(F51="","",IF(F51&lt;-5,1,IF(F51&lt;-2,2.5,IF(F51&lt;0,4.5,IF(F51&lt;3,6.5,IF(F51&lt;6,8.5,10))))))</f>
        <v/>
      </c>
      <c r="I51">
        <f>IF(H51="","",IF(H51&lt;2,1,IF(H51&lt;3,3,IF(H51&lt;4,5,IF(H51&lt;6,7,IF(H51&lt;8,8,9.5))))))</f>
        <v/>
      </c>
      <c r="K51">
        <f>IF(J51="","",IF(J51&lt;0.3,1,IF(J51&lt;0.6,2.5,IF(J51&lt;1,4.5,IF(J51&lt;2,6.5,IF(J51&lt;3,8.5,10))))))</f>
        <v/>
      </c>
      <c r="M51">
        <f>IF(L51="","",IF(L51&gt;30,1,IF(L51&gt;20,2.5,IF(L51&gt;10,4.5,IF(L51&gt;5,6.5,IF(L51&gt;0,8.5,10))))))</f>
        <v/>
      </c>
      <c r="N51">
        <f>IF(C51="","",ROUND(C51*0.15+E51*0.15+G51*0.25+I51*0.15+K51*0.15+M51*0.15,1))</f>
        <v/>
      </c>
      <c r="O51">
        <f>IF(N51="","",IF(N51&lt;3,"冰点期",IF(N51&lt;5,"退潮/修复期",IF(N51&lt;7,"回暖/上升期",IF(N51&lt;9,"高潮期","极度亢奋")))))</f>
        <v/>
      </c>
      <c r="P51">
        <f>IF(N51="","",IF(N51&lt;3,"空仓观望",IF(N51&lt;5,"1-2成试探",IF(N51&lt;7,"3-5成正常参与",IF(N51&lt;9,"5-8成积极参与","3成以下防守")))))</f>
        <v/>
      </c>
    </row>
    <row r="52">
      <c r="C52">
        <f>IF(B52="","",IF(B52&lt;20,1.5,IF(B52&lt;40,3.5,IF(B52&lt;70,5.5,IF(B52&lt;100,7.5,9.5)))))</f>
        <v/>
      </c>
      <c r="E52">
        <f>IF(D52="","",IF(D52&lt;40,2,IF(D52&lt;55,4.5,IF(D52&lt;70,6.5,IF(D52&lt;85,8.5,10)))))</f>
        <v/>
      </c>
      <c r="G52">
        <f>IF(F52="","",IF(F52&lt;-5,1,IF(F52&lt;-2,2.5,IF(F52&lt;0,4.5,IF(F52&lt;3,6.5,IF(F52&lt;6,8.5,10))))))</f>
        <v/>
      </c>
      <c r="I52">
        <f>IF(H52="","",IF(H52&lt;2,1,IF(H52&lt;3,3,IF(H52&lt;4,5,IF(H52&lt;6,7,IF(H52&lt;8,8,9.5))))))</f>
        <v/>
      </c>
      <c r="K52">
        <f>IF(J52="","",IF(J52&lt;0.3,1,IF(J52&lt;0.6,2.5,IF(J52&lt;1,4.5,IF(J52&lt;2,6.5,IF(J52&lt;3,8.5,10))))))</f>
        <v/>
      </c>
      <c r="M52">
        <f>IF(L52="","",IF(L52&gt;30,1,IF(L52&gt;20,2.5,IF(L52&gt;10,4.5,IF(L52&gt;5,6.5,IF(L52&gt;0,8.5,10))))))</f>
        <v/>
      </c>
      <c r="N52">
        <f>IF(C52="","",ROUND(C52*0.15+E52*0.15+G52*0.25+I52*0.15+K52*0.15+M52*0.15,1))</f>
        <v/>
      </c>
      <c r="O52">
        <f>IF(N52="","",IF(N52&lt;3,"冰点期",IF(N52&lt;5,"退潮/修复期",IF(N52&lt;7,"回暖/上升期",IF(N52&lt;9,"高潮期","极度亢奋")))))</f>
        <v/>
      </c>
      <c r="P52">
        <f>IF(N52="","",IF(N52&lt;3,"空仓观望",IF(N52&lt;5,"1-2成试探",IF(N52&lt;7,"3-5成正常参与",IF(N52&lt;9,"5-8成积极参与","3成以下防守")))))</f>
        <v/>
      </c>
    </row>
    <row r="53">
      <c r="C53">
        <f>IF(B53="","",IF(B53&lt;20,1.5,IF(B53&lt;40,3.5,IF(B53&lt;70,5.5,IF(B53&lt;100,7.5,9.5)))))</f>
        <v/>
      </c>
      <c r="E53">
        <f>IF(D53="","",IF(D53&lt;40,2,IF(D53&lt;55,4.5,IF(D53&lt;70,6.5,IF(D53&lt;85,8.5,10)))))</f>
        <v/>
      </c>
      <c r="G53">
        <f>IF(F53="","",IF(F53&lt;-5,1,IF(F53&lt;-2,2.5,IF(F53&lt;0,4.5,IF(F53&lt;3,6.5,IF(F53&lt;6,8.5,10))))))</f>
        <v/>
      </c>
      <c r="I53">
        <f>IF(H53="","",IF(H53&lt;2,1,IF(H53&lt;3,3,IF(H53&lt;4,5,IF(H53&lt;6,7,IF(H53&lt;8,8,9.5))))))</f>
        <v/>
      </c>
      <c r="K53">
        <f>IF(J53="","",IF(J53&lt;0.3,1,IF(J53&lt;0.6,2.5,IF(J53&lt;1,4.5,IF(J53&lt;2,6.5,IF(J53&lt;3,8.5,10))))))</f>
        <v/>
      </c>
      <c r="M53">
        <f>IF(L53="","",IF(L53&gt;30,1,IF(L53&gt;20,2.5,IF(L53&gt;10,4.5,IF(L53&gt;5,6.5,IF(L53&gt;0,8.5,10))))))</f>
        <v/>
      </c>
      <c r="N53">
        <f>IF(C53="","",ROUND(C53*0.15+E53*0.15+G53*0.25+I53*0.15+K53*0.15+M53*0.15,1))</f>
        <v/>
      </c>
      <c r="O53">
        <f>IF(N53="","",IF(N53&lt;3,"冰点期",IF(N53&lt;5,"退潮/修复期",IF(N53&lt;7,"回暖/上升期",IF(N53&lt;9,"高潮期","极度亢奋")))))</f>
        <v/>
      </c>
      <c r="P53">
        <f>IF(N53="","",IF(N53&lt;3,"空仓观望",IF(N53&lt;5,"1-2成试探",IF(N53&lt;7,"3-5成正常参与",IF(N53&lt;9,"5-8成积极参与","3成以下防守")))))</f>
        <v/>
      </c>
    </row>
    <row r="54">
      <c r="C54">
        <f>IF(B54="","",IF(B54&lt;20,1.5,IF(B54&lt;40,3.5,IF(B54&lt;70,5.5,IF(B54&lt;100,7.5,9.5)))))</f>
        <v/>
      </c>
      <c r="E54">
        <f>IF(D54="","",IF(D54&lt;40,2,IF(D54&lt;55,4.5,IF(D54&lt;70,6.5,IF(D54&lt;85,8.5,10)))))</f>
        <v/>
      </c>
      <c r="G54">
        <f>IF(F54="","",IF(F54&lt;-5,1,IF(F54&lt;-2,2.5,IF(F54&lt;0,4.5,IF(F54&lt;3,6.5,IF(F54&lt;6,8.5,10))))))</f>
        <v/>
      </c>
      <c r="I54">
        <f>IF(H54="","",IF(H54&lt;2,1,IF(H54&lt;3,3,IF(H54&lt;4,5,IF(H54&lt;6,7,IF(H54&lt;8,8,9.5))))))</f>
        <v/>
      </c>
      <c r="K54">
        <f>IF(J54="","",IF(J54&lt;0.3,1,IF(J54&lt;0.6,2.5,IF(J54&lt;1,4.5,IF(J54&lt;2,6.5,IF(J54&lt;3,8.5,10))))))</f>
        <v/>
      </c>
      <c r="M54">
        <f>IF(L54="","",IF(L54&gt;30,1,IF(L54&gt;20,2.5,IF(L54&gt;10,4.5,IF(L54&gt;5,6.5,IF(L54&gt;0,8.5,10))))))</f>
        <v/>
      </c>
      <c r="N54">
        <f>IF(C54="","",ROUND(C54*0.15+E54*0.15+G54*0.25+I54*0.15+K54*0.15+M54*0.15,1))</f>
        <v/>
      </c>
      <c r="O54">
        <f>IF(N54="","",IF(N54&lt;3,"冰点期",IF(N54&lt;5,"退潮/修复期",IF(N54&lt;7,"回暖/上升期",IF(N54&lt;9,"高潮期","极度亢奋")))))</f>
        <v/>
      </c>
      <c r="P54">
        <f>IF(N54="","",IF(N54&lt;3,"空仓观望",IF(N54&lt;5,"1-2成试探",IF(N54&lt;7,"3-5成正常参与",IF(N54&lt;9,"5-8成积极参与","3成以下防守")))))</f>
        <v/>
      </c>
    </row>
    <row r="55">
      <c r="C55">
        <f>IF(B55="","",IF(B55&lt;20,1.5,IF(B55&lt;40,3.5,IF(B55&lt;70,5.5,IF(B55&lt;100,7.5,9.5)))))</f>
        <v/>
      </c>
      <c r="E55">
        <f>IF(D55="","",IF(D55&lt;40,2,IF(D55&lt;55,4.5,IF(D55&lt;70,6.5,IF(D55&lt;85,8.5,10)))))</f>
        <v/>
      </c>
      <c r="G55">
        <f>IF(F55="","",IF(F55&lt;-5,1,IF(F55&lt;-2,2.5,IF(F55&lt;0,4.5,IF(F55&lt;3,6.5,IF(F55&lt;6,8.5,10))))))</f>
        <v/>
      </c>
      <c r="I55">
        <f>IF(H55="","",IF(H55&lt;2,1,IF(H55&lt;3,3,IF(H55&lt;4,5,IF(H55&lt;6,7,IF(H55&lt;8,8,9.5))))))</f>
        <v/>
      </c>
      <c r="K55">
        <f>IF(J55="","",IF(J55&lt;0.3,1,IF(J55&lt;0.6,2.5,IF(J55&lt;1,4.5,IF(J55&lt;2,6.5,IF(J55&lt;3,8.5,10))))))</f>
        <v/>
      </c>
      <c r="M55">
        <f>IF(L55="","",IF(L55&gt;30,1,IF(L55&gt;20,2.5,IF(L55&gt;10,4.5,IF(L55&gt;5,6.5,IF(L55&gt;0,8.5,10))))))</f>
        <v/>
      </c>
      <c r="N55">
        <f>IF(C55="","",ROUND(C55*0.15+E55*0.15+G55*0.25+I55*0.15+K55*0.15+M55*0.15,1))</f>
        <v/>
      </c>
      <c r="O55">
        <f>IF(N55="","",IF(N55&lt;3,"冰点期",IF(N55&lt;5,"退潮/修复期",IF(N55&lt;7,"回暖/上升期",IF(N55&lt;9,"高潮期","极度亢奋")))))</f>
        <v/>
      </c>
      <c r="P55">
        <f>IF(N55="","",IF(N55&lt;3,"空仓观望",IF(N55&lt;5,"1-2成试探",IF(N55&lt;7,"3-5成正常参与",IF(N55&lt;9,"5-8成积极参与","3成以下防守")))))</f>
        <v/>
      </c>
    </row>
    <row r="56">
      <c r="C56">
        <f>IF(B56="","",IF(B56&lt;20,1.5,IF(B56&lt;40,3.5,IF(B56&lt;70,5.5,IF(B56&lt;100,7.5,9.5)))))</f>
        <v/>
      </c>
      <c r="E56">
        <f>IF(D56="","",IF(D56&lt;40,2,IF(D56&lt;55,4.5,IF(D56&lt;70,6.5,IF(D56&lt;85,8.5,10)))))</f>
        <v/>
      </c>
      <c r="G56">
        <f>IF(F56="","",IF(F56&lt;-5,1,IF(F56&lt;-2,2.5,IF(F56&lt;0,4.5,IF(F56&lt;3,6.5,IF(F56&lt;6,8.5,10))))))</f>
        <v/>
      </c>
      <c r="I56">
        <f>IF(H56="","",IF(H56&lt;2,1,IF(H56&lt;3,3,IF(H56&lt;4,5,IF(H56&lt;6,7,IF(H56&lt;8,8,9.5))))))</f>
        <v/>
      </c>
      <c r="K56">
        <f>IF(J56="","",IF(J56&lt;0.3,1,IF(J56&lt;0.6,2.5,IF(J56&lt;1,4.5,IF(J56&lt;2,6.5,IF(J56&lt;3,8.5,10))))))</f>
        <v/>
      </c>
      <c r="M56">
        <f>IF(L56="","",IF(L56&gt;30,1,IF(L56&gt;20,2.5,IF(L56&gt;10,4.5,IF(L56&gt;5,6.5,IF(L56&gt;0,8.5,10))))))</f>
        <v/>
      </c>
      <c r="N56">
        <f>IF(C56="","",ROUND(C56*0.15+E56*0.15+G56*0.25+I56*0.15+K56*0.15+M56*0.15,1))</f>
        <v/>
      </c>
      <c r="O56">
        <f>IF(N56="","",IF(N56&lt;3,"冰点期",IF(N56&lt;5,"退潮/修复期",IF(N56&lt;7,"回暖/上升期",IF(N56&lt;9,"高潮期","极度亢奋")))))</f>
        <v/>
      </c>
      <c r="P56">
        <f>IF(N56="","",IF(N56&lt;3,"空仓观望",IF(N56&lt;5,"1-2成试探",IF(N56&lt;7,"3-5成正常参与",IF(N56&lt;9,"5-8成积极参与","3成以下防守")))))</f>
        <v/>
      </c>
    </row>
    <row r="57">
      <c r="C57">
        <f>IF(B57="","",IF(B57&lt;20,1.5,IF(B57&lt;40,3.5,IF(B57&lt;70,5.5,IF(B57&lt;100,7.5,9.5)))))</f>
        <v/>
      </c>
      <c r="E57">
        <f>IF(D57="","",IF(D57&lt;40,2,IF(D57&lt;55,4.5,IF(D57&lt;70,6.5,IF(D57&lt;85,8.5,10)))))</f>
        <v/>
      </c>
      <c r="G57">
        <f>IF(F57="","",IF(F57&lt;-5,1,IF(F57&lt;-2,2.5,IF(F57&lt;0,4.5,IF(F57&lt;3,6.5,IF(F57&lt;6,8.5,10))))))</f>
        <v/>
      </c>
      <c r="I57">
        <f>IF(H57="","",IF(H57&lt;2,1,IF(H57&lt;3,3,IF(H57&lt;4,5,IF(H57&lt;6,7,IF(H57&lt;8,8,9.5))))))</f>
        <v/>
      </c>
      <c r="K57">
        <f>IF(J57="","",IF(J57&lt;0.3,1,IF(J57&lt;0.6,2.5,IF(J57&lt;1,4.5,IF(J57&lt;2,6.5,IF(J57&lt;3,8.5,10))))))</f>
        <v/>
      </c>
      <c r="M57">
        <f>IF(L57="","",IF(L57&gt;30,1,IF(L57&gt;20,2.5,IF(L57&gt;10,4.5,IF(L57&gt;5,6.5,IF(L57&gt;0,8.5,10))))))</f>
        <v/>
      </c>
      <c r="N57">
        <f>IF(C57="","",ROUND(C57*0.15+E57*0.15+G57*0.25+I57*0.15+K57*0.15+M57*0.15,1))</f>
        <v/>
      </c>
      <c r="O57">
        <f>IF(N57="","",IF(N57&lt;3,"冰点期",IF(N57&lt;5,"退潮/修复期",IF(N57&lt;7,"回暖/上升期",IF(N57&lt;9,"高潮期","极度亢奋")))))</f>
        <v/>
      </c>
      <c r="P57">
        <f>IF(N57="","",IF(N57&lt;3,"空仓观望",IF(N57&lt;5,"1-2成试探",IF(N57&lt;7,"3-5成正常参与",IF(N57&lt;9,"5-8成积极参与","3成以下防守")))))</f>
        <v/>
      </c>
    </row>
    <row r="58">
      <c r="C58">
        <f>IF(B58="","",IF(B58&lt;20,1.5,IF(B58&lt;40,3.5,IF(B58&lt;70,5.5,IF(B58&lt;100,7.5,9.5)))))</f>
        <v/>
      </c>
      <c r="E58">
        <f>IF(D58="","",IF(D58&lt;40,2,IF(D58&lt;55,4.5,IF(D58&lt;70,6.5,IF(D58&lt;85,8.5,10)))))</f>
        <v/>
      </c>
      <c r="G58">
        <f>IF(F58="","",IF(F58&lt;-5,1,IF(F58&lt;-2,2.5,IF(F58&lt;0,4.5,IF(F58&lt;3,6.5,IF(F58&lt;6,8.5,10))))))</f>
        <v/>
      </c>
      <c r="I58">
        <f>IF(H58="","",IF(H58&lt;2,1,IF(H58&lt;3,3,IF(H58&lt;4,5,IF(H58&lt;6,7,IF(H58&lt;8,8,9.5))))))</f>
        <v/>
      </c>
      <c r="K58">
        <f>IF(J58="","",IF(J58&lt;0.3,1,IF(J58&lt;0.6,2.5,IF(J58&lt;1,4.5,IF(J58&lt;2,6.5,IF(J58&lt;3,8.5,10))))))</f>
        <v/>
      </c>
      <c r="M58">
        <f>IF(L58="","",IF(L58&gt;30,1,IF(L58&gt;20,2.5,IF(L58&gt;10,4.5,IF(L58&gt;5,6.5,IF(L58&gt;0,8.5,10))))))</f>
        <v/>
      </c>
      <c r="N58">
        <f>IF(C58="","",ROUND(C58*0.15+E58*0.15+G58*0.25+I58*0.15+K58*0.15+M58*0.15,1))</f>
        <v/>
      </c>
      <c r="O58">
        <f>IF(N58="","",IF(N58&lt;3,"冰点期",IF(N58&lt;5,"退潮/修复期",IF(N58&lt;7,"回暖/上升期",IF(N58&lt;9,"高潮期","极度亢奋")))))</f>
        <v/>
      </c>
      <c r="P58">
        <f>IF(N58="","",IF(N58&lt;3,"空仓观望",IF(N58&lt;5,"1-2成试探",IF(N58&lt;7,"3-5成正常参与",IF(N58&lt;9,"5-8成积极参与","3成以下防守")))))</f>
        <v/>
      </c>
    </row>
    <row r="59">
      <c r="C59">
        <f>IF(B59="","",IF(B59&lt;20,1.5,IF(B59&lt;40,3.5,IF(B59&lt;70,5.5,IF(B59&lt;100,7.5,9.5)))))</f>
        <v/>
      </c>
      <c r="E59">
        <f>IF(D59="","",IF(D59&lt;40,2,IF(D59&lt;55,4.5,IF(D59&lt;70,6.5,IF(D59&lt;85,8.5,10)))))</f>
        <v/>
      </c>
      <c r="G59">
        <f>IF(F59="","",IF(F59&lt;-5,1,IF(F59&lt;-2,2.5,IF(F59&lt;0,4.5,IF(F59&lt;3,6.5,IF(F59&lt;6,8.5,10))))))</f>
        <v/>
      </c>
      <c r="I59">
        <f>IF(H59="","",IF(H59&lt;2,1,IF(H59&lt;3,3,IF(H59&lt;4,5,IF(H59&lt;6,7,IF(H59&lt;8,8,9.5))))))</f>
        <v/>
      </c>
      <c r="K59">
        <f>IF(J59="","",IF(J59&lt;0.3,1,IF(J59&lt;0.6,2.5,IF(J59&lt;1,4.5,IF(J59&lt;2,6.5,IF(J59&lt;3,8.5,10))))))</f>
        <v/>
      </c>
      <c r="M59">
        <f>IF(L59="","",IF(L59&gt;30,1,IF(L59&gt;20,2.5,IF(L59&gt;10,4.5,IF(L59&gt;5,6.5,IF(L59&gt;0,8.5,10))))))</f>
        <v/>
      </c>
      <c r="N59">
        <f>IF(C59="","",ROUND(C59*0.15+E59*0.15+G59*0.25+I59*0.15+K59*0.15+M59*0.15,1))</f>
        <v/>
      </c>
      <c r="O59">
        <f>IF(N59="","",IF(N59&lt;3,"冰点期",IF(N59&lt;5,"退潮/修复期",IF(N59&lt;7,"回暖/上升期",IF(N59&lt;9,"高潮期","极度亢奋")))))</f>
        <v/>
      </c>
      <c r="P59">
        <f>IF(N59="","",IF(N59&lt;3,"空仓观望",IF(N59&lt;5,"1-2成试探",IF(N59&lt;7,"3-5成正常参与",IF(N59&lt;9,"5-8成积极参与","3成以下防守")))))</f>
        <v/>
      </c>
    </row>
    <row r="60">
      <c r="C60">
        <f>IF(B60="","",IF(B60&lt;20,1.5,IF(B60&lt;40,3.5,IF(B60&lt;70,5.5,IF(B60&lt;100,7.5,9.5)))))</f>
        <v/>
      </c>
      <c r="E60">
        <f>IF(D60="","",IF(D60&lt;40,2,IF(D60&lt;55,4.5,IF(D60&lt;70,6.5,IF(D60&lt;85,8.5,10)))))</f>
        <v/>
      </c>
      <c r="G60">
        <f>IF(F60="","",IF(F60&lt;-5,1,IF(F60&lt;-2,2.5,IF(F60&lt;0,4.5,IF(F60&lt;3,6.5,IF(F60&lt;6,8.5,10))))))</f>
        <v/>
      </c>
      <c r="I60">
        <f>IF(H60="","",IF(H60&lt;2,1,IF(H60&lt;3,3,IF(H60&lt;4,5,IF(H60&lt;6,7,IF(H60&lt;8,8,9.5))))))</f>
        <v/>
      </c>
      <c r="K60">
        <f>IF(J60="","",IF(J60&lt;0.3,1,IF(J60&lt;0.6,2.5,IF(J60&lt;1,4.5,IF(J60&lt;2,6.5,IF(J60&lt;3,8.5,10))))))</f>
        <v/>
      </c>
      <c r="M60">
        <f>IF(L60="","",IF(L60&gt;30,1,IF(L60&gt;20,2.5,IF(L60&gt;10,4.5,IF(L60&gt;5,6.5,IF(L60&gt;0,8.5,10))))))</f>
        <v/>
      </c>
      <c r="N60">
        <f>IF(C60="","",ROUND(C60*0.15+E60*0.15+G60*0.25+I60*0.15+K60*0.15+M60*0.15,1))</f>
        <v/>
      </c>
      <c r="O60">
        <f>IF(N60="","",IF(N60&lt;3,"冰点期",IF(N60&lt;5,"退潮/修复期",IF(N60&lt;7,"回暖/上升期",IF(N60&lt;9,"高潮期","极度亢奋")))))</f>
        <v/>
      </c>
      <c r="P60">
        <f>IF(N60="","",IF(N60&lt;3,"空仓观望",IF(N60&lt;5,"1-2成试探",IF(N60&lt;7,"3-5成正常参与",IF(N60&lt;9,"5-8成积极参与","3成以下防守")))))</f>
        <v/>
      </c>
    </row>
    <row r="61">
      <c r="C61">
        <f>IF(B61="","",IF(B61&lt;20,1.5,IF(B61&lt;40,3.5,IF(B61&lt;70,5.5,IF(B61&lt;100,7.5,9.5)))))</f>
        <v/>
      </c>
      <c r="E61">
        <f>IF(D61="","",IF(D61&lt;40,2,IF(D61&lt;55,4.5,IF(D61&lt;70,6.5,IF(D61&lt;85,8.5,10)))))</f>
        <v/>
      </c>
      <c r="G61">
        <f>IF(F61="","",IF(F61&lt;-5,1,IF(F61&lt;-2,2.5,IF(F61&lt;0,4.5,IF(F61&lt;3,6.5,IF(F61&lt;6,8.5,10))))))</f>
        <v/>
      </c>
      <c r="I61">
        <f>IF(H61="","",IF(H61&lt;2,1,IF(H61&lt;3,3,IF(H61&lt;4,5,IF(H61&lt;6,7,IF(H61&lt;8,8,9.5))))))</f>
        <v/>
      </c>
      <c r="K61">
        <f>IF(J61="","",IF(J61&lt;0.3,1,IF(J61&lt;0.6,2.5,IF(J61&lt;1,4.5,IF(J61&lt;2,6.5,IF(J61&lt;3,8.5,10))))))</f>
        <v/>
      </c>
      <c r="M61">
        <f>IF(L61="","",IF(L61&gt;30,1,IF(L61&gt;20,2.5,IF(L61&gt;10,4.5,IF(L61&gt;5,6.5,IF(L61&gt;0,8.5,10))))))</f>
        <v/>
      </c>
      <c r="N61">
        <f>IF(C61="","",ROUND(C61*0.15+E61*0.15+G61*0.25+I61*0.15+K61*0.15+M61*0.15,1))</f>
        <v/>
      </c>
      <c r="O61">
        <f>IF(N61="","",IF(N61&lt;3,"冰点期",IF(N61&lt;5,"退潮/修复期",IF(N61&lt;7,"回暖/上升期",IF(N61&lt;9,"高潮期","极度亢奋")))))</f>
        <v/>
      </c>
      <c r="P61">
        <f>IF(N61="","",IF(N61&lt;3,"空仓观望",IF(N61&lt;5,"1-2成试探",IF(N61&lt;7,"3-5成正常参与",IF(N61&lt;9,"5-8成积极参与","3成以下防守")))))</f>
        <v/>
      </c>
    </row>
    <row r="62">
      <c r="C62">
        <f>IF(B62="","",IF(B62&lt;20,1.5,IF(B62&lt;40,3.5,IF(B62&lt;70,5.5,IF(B62&lt;100,7.5,9.5)))))</f>
        <v/>
      </c>
      <c r="E62">
        <f>IF(D62="","",IF(D62&lt;40,2,IF(D62&lt;55,4.5,IF(D62&lt;70,6.5,IF(D62&lt;85,8.5,10)))))</f>
        <v/>
      </c>
      <c r="G62">
        <f>IF(F62="","",IF(F62&lt;-5,1,IF(F62&lt;-2,2.5,IF(F62&lt;0,4.5,IF(F62&lt;3,6.5,IF(F62&lt;6,8.5,10))))))</f>
        <v/>
      </c>
      <c r="I62">
        <f>IF(H62="","",IF(H62&lt;2,1,IF(H62&lt;3,3,IF(H62&lt;4,5,IF(H62&lt;6,7,IF(H62&lt;8,8,9.5))))))</f>
        <v/>
      </c>
      <c r="K62">
        <f>IF(J62="","",IF(J62&lt;0.3,1,IF(J62&lt;0.6,2.5,IF(J62&lt;1,4.5,IF(J62&lt;2,6.5,IF(J62&lt;3,8.5,10))))))</f>
        <v/>
      </c>
      <c r="M62">
        <f>IF(L62="","",IF(L62&gt;30,1,IF(L62&gt;20,2.5,IF(L62&gt;10,4.5,IF(L62&gt;5,6.5,IF(L62&gt;0,8.5,10))))))</f>
        <v/>
      </c>
      <c r="N62">
        <f>IF(C62="","",ROUND(C62*0.15+E62*0.15+G62*0.25+I62*0.15+K62*0.15+M62*0.15,1))</f>
        <v/>
      </c>
      <c r="O62">
        <f>IF(N62="","",IF(N62&lt;3,"冰点期",IF(N62&lt;5,"退潮/修复期",IF(N62&lt;7,"回暖/上升期",IF(N62&lt;9,"高潮期","极度亢奋")))))</f>
        <v/>
      </c>
      <c r="P62">
        <f>IF(N62="","",IF(N62&lt;3,"空仓观望",IF(N62&lt;5,"1-2成试探",IF(N62&lt;7,"3-5成正常参与",IF(N62&lt;9,"5-8成积极参与","3成以下防守")))))</f>
        <v/>
      </c>
    </row>
    <row r="63">
      <c r="C63">
        <f>IF(B63="","",IF(B63&lt;20,1.5,IF(B63&lt;40,3.5,IF(B63&lt;70,5.5,IF(B63&lt;100,7.5,9.5)))))</f>
        <v/>
      </c>
      <c r="E63">
        <f>IF(D63="","",IF(D63&lt;40,2,IF(D63&lt;55,4.5,IF(D63&lt;70,6.5,IF(D63&lt;85,8.5,10)))))</f>
        <v/>
      </c>
      <c r="G63">
        <f>IF(F63="","",IF(F63&lt;-5,1,IF(F63&lt;-2,2.5,IF(F63&lt;0,4.5,IF(F63&lt;3,6.5,IF(F63&lt;6,8.5,10))))))</f>
        <v/>
      </c>
      <c r="I63">
        <f>IF(H63="","",IF(H63&lt;2,1,IF(H63&lt;3,3,IF(H63&lt;4,5,IF(H63&lt;6,7,IF(H63&lt;8,8,9.5))))))</f>
        <v/>
      </c>
      <c r="K63">
        <f>IF(J63="","",IF(J63&lt;0.3,1,IF(J63&lt;0.6,2.5,IF(J63&lt;1,4.5,IF(J63&lt;2,6.5,IF(J63&lt;3,8.5,10))))))</f>
        <v/>
      </c>
      <c r="M63">
        <f>IF(L63="","",IF(L63&gt;30,1,IF(L63&gt;20,2.5,IF(L63&gt;10,4.5,IF(L63&gt;5,6.5,IF(L63&gt;0,8.5,10))))))</f>
        <v/>
      </c>
      <c r="N63">
        <f>IF(C63="","",ROUND(C63*0.15+E63*0.15+G63*0.25+I63*0.15+K63*0.15+M63*0.15,1))</f>
        <v/>
      </c>
      <c r="O63">
        <f>IF(N63="","",IF(N63&lt;3,"冰点期",IF(N63&lt;5,"退潮/修复期",IF(N63&lt;7,"回暖/上升期",IF(N63&lt;9,"高潮期","极度亢奋")))))</f>
        <v/>
      </c>
      <c r="P63">
        <f>IF(N63="","",IF(N63&lt;3,"空仓观望",IF(N63&lt;5,"1-2成试探",IF(N63&lt;7,"3-5成正常参与",IF(N63&lt;9,"5-8成积极参与","3成以下防守")))))</f>
        <v/>
      </c>
    </row>
    <row r="64">
      <c r="C64">
        <f>IF(B64="","",IF(B64&lt;20,1.5,IF(B64&lt;40,3.5,IF(B64&lt;70,5.5,IF(B64&lt;100,7.5,9.5)))))</f>
        <v/>
      </c>
      <c r="E64">
        <f>IF(D64="","",IF(D64&lt;40,2,IF(D64&lt;55,4.5,IF(D64&lt;70,6.5,IF(D64&lt;85,8.5,10)))))</f>
        <v/>
      </c>
      <c r="G64">
        <f>IF(F64="","",IF(F64&lt;-5,1,IF(F64&lt;-2,2.5,IF(F64&lt;0,4.5,IF(F64&lt;3,6.5,IF(F64&lt;6,8.5,10))))))</f>
        <v/>
      </c>
      <c r="I64">
        <f>IF(H64="","",IF(H64&lt;2,1,IF(H64&lt;3,3,IF(H64&lt;4,5,IF(H64&lt;6,7,IF(H64&lt;8,8,9.5))))))</f>
        <v/>
      </c>
      <c r="K64">
        <f>IF(J64="","",IF(J64&lt;0.3,1,IF(J64&lt;0.6,2.5,IF(J64&lt;1,4.5,IF(J64&lt;2,6.5,IF(J64&lt;3,8.5,10))))))</f>
        <v/>
      </c>
      <c r="M64">
        <f>IF(L64="","",IF(L64&gt;30,1,IF(L64&gt;20,2.5,IF(L64&gt;10,4.5,IF(L64&gt;5,6.5,IF(L64&gt;0,8.5,10))))))</f>
        <v/>
      </c>
      <c r="N64">
        <f>IF(C64="","",ROUND(C64*0.15+E64*0.15+G64*0.25+I64*0.15+K64*0.15+M64*0.15,1))</f>
        <v/>
      </c>
      <c r="O64">
        <f>IF(N64="","",IF(N64&lt;3,"冰点期",IF(N64&lt;5,"退潮/修复期",IF(N64&lt;7,"回暖/上升期",IF(N64&lt;9,"高潮期","极度亢奋")))))</f>
        <v/>
      </c>
      <c r="P64">
        <f>IF(N64="","",IF(N64&lt;3,"空仓观望",IF(N64&lt;5,"1-2成试探",IF(N64&lt;7,"3-5成正常参与",IF(N64&lt;9,"5-8成积极参与","3成以下防守")))))</f>
        <v/>
      </c>
    </row>
    <row r="65">
      <c r="C65">
        <f>IF(B65="","",IF(B65&lt;20,1.5,IF(B65&lt;40,3.5,IF(B65&lt;70,5.5,IF(B65&lt;100,7.5,9.5)))))</f>
        <v/>
      </c>
      <c r="E65">
        <f>IF(D65="","",IF(D65&lt;40,2,IF(D65&lt;55,4.5,IF(D65&lt;70,6.5,IF(D65&lt;85,8.5,10)))))</f>
        <v/>
      </c>
      <c r="G65">
        <f>IF(F65="","",IF(F65&lt;-5,1,IF(F65&lt;-2,2.5,IF(F65&lt;0,4.5,IF(F65&lt;3,6.5,IF(F65&lt;6,8.5,10))))))</f>
        <v/>
      </c>
      <c r="I65">
        <f>IF(H65="","",IF(H65&lt;2,1,IF(H65&lt;3,3,IF(H65&lt;4,5,IF(H65&lt;6,7,IF(H65&lt;8,8,9.5))))))</f>
        <v/>
      </c>
      <c r="K65">
        <f>IF(J65="","",IF(J65&lt;0.3,1,IF(J65&lt;0.6,2.5,IF(J65&lt;1,4.5,IF(J65&lt;2,6.5,IF(J65&lt;3,8.5,10))))))</f>
        <v/>
      </c>
      <c r="M65">
        <f>IF(L65="","",IF(L65&gt;30,1,IF(L65&gt;20,2.5,IF(L65&gt;10,4.5,IF(L65&gt;5,6.5,IF(L65&gt;0,8.5,10))))))</f>
        <v/>
      </c>
      <c r="N65">
        <f>IF(C65="","",ROUND(C65*0.15+E65*0.15+G65*0.25+I65*0.15+K65*0.15+M65*0.15,1))</f>
        <v/>
      </c>
      <c r="O65">
        <f>IF(N65="","",IF(N65&lt;3,"冰点期",IF(N65&lt;5,"退潮/修复期",IF(N65&lt;7,"回暖/上升期",IF(N65&lt;9,"高潮期","极度亢奋")))))</f>
        <v/>
      </c>
      <c r="P65">
        <f>IF(N65="","",IF(N65&lt;3,"空仓观望",IF(N65&lt;5,"1-2成试探",IF(N65&lt;7,"3-5成正常参与",IF(N65&lt;9,"5-8成积极参与","3成以下防守")))))</f>
        <v/>
      </c>
    </row>
    <row r="66">
      <c r="C66">
        <f>IF(B66="","",IF(B66&lt;20,1.5,IF(B66&lt;40,3.5,IF(B66&lt;70,5.5,IF(B66&lt;100,7.5,9.5)))))</f>
        <v/>
      </c>
      <c r="E66">
        <f>IF(D66="","",IF(D66&lt;40,2,IF(D66&lt;55,4.5,IF(D66&lt;70,6.5,IF(D66&lt;85,8.5,10)))))</f>
        <v/>
      </c>
      <c r="G66">
        <f>IF(F66="","",IF(F66&lt;-5,1,IF(F66&lt;-2,2.5,IF(F66&lt;0,4.5,IF(F66&lt;3,6.5,IF(F66&lt;6,8.5,10))))))</f>
        <v/>
      </c>
      <c r="I66">
        <f>IF(H66="","",IF(H66&lt;2,1,IF(H66&lt;3,3,IF(H66&lt;4,5,IF(H66&lt;6,7,IF(H66&lt;8,8,9.5))))))</f>
        <v/>
      </c>
      <c r="K66">
        <f>IF(J66="","",IF(J66&lt;0.3,1,IF(J66&lt;0.6,2.5,IF(J66&lt;1,4.5,IF(J66&lt;2,6.5,IF(J66&lt;3,8.5,10))))))</f>
        <v/>
      </c>
      <c r="M66">
        <f>IF(L66="","",IF(L66&gt;30,1,IF(L66&gt;20,2.5,IF(L66&gt;10,4.5,IF(L66&gt;5,6.5,IF(L66&gt;0,8.5,10))))))</f>
        <v/>
      </c>
      <c r="N66">
        <f>IF(C66="","",ROUND(C66*0.15+E66*0.15+G66*0.25+I66*0.15+K66*0.15+M66*0.15,1))</f>
        <v/>
      </c>
      <c r="O66">
        <f>IF(N66="","",IF(N66&lt;3,"冰点期",IF(N66&lt;5,"退潮/修复期",IF(N66&lt;7,"回暖/上升期",IF(N66&lt;9,"高潮期","极度亢奋")))))</f>
        <v/>
      </c>
      <c r="P66">
        <f>IF(N66="","",IF(N66&lt;3,"空仓观望",IF(N66&lt;5,"1-2成试探",IF(N66&lt;7,"3-5成正常参与",IF(N66&lt;9,"5-8成积极参与","3成以下防守")))))</f>
        <v/>
      </c>
    </row>
    <row r="67">
      <c r="C67">
        <f>IF(B67="","",IF(B67&lt;20,1.5,IF(B67&lt;40,3.5,IF(B67&lt;70,5.5,IF(B67&lt;100,7.5,9.5)))))</f>
        <v/>
      </c>
      <c r="E67">
        <f>IF(D67="","",IF(D67&lt;40,2,IF(D67&lt;55,4.5,IF(D67&lt;70,6.5,IF(D67&lt;85,8.5,10)))))</f>
        <v/>
      </c>
      <c r="G67">
        <f>IF(F67="","",IF(F67&lt;-5,1,IF(F67&lt;-2,2.5,IF(F67&lt;0,4.5,IF(F67&lt;3,6.5,IF(F67&lt;6,8.5,10))))))</f>
        <v/>
      </c>
      <c r="I67">
        <f>IF(H67="","",IF(H67&lt;2,1,IF(H67&lt;3,3,IF(H67&lt;4,5,IF(H67&lt;6,7,IF(H67&lt;8,8,9.5))))))</f>
        <v/>
      </c>
      <c r="K67">
        <f>IF(J67="","",IF(J67&lt;0.3,1,IF(J67&lt;0.6,2.5,IF(J67&lt;1,4.5,IF(J67&lt;2,6.5,IF(J67&lt;3,8.5,10))))))</f>
        <v/>
      </c>
      <c r="M67">
        <f>IF(L67="","",IF(L67&gt;30,1,IF(L67&gt;20,2.5,IF(L67&gt;10,4.5,IF(L67&gt;5,6.5,IF(L67&gt;0,8.5,10))))))</f>
        <v/>
      </c>
      <c r="N67">
        <f>IF(C67="","",ROUND(C67*0.15+E67*0.15+G67*0.25+I67*0.15+K67*0.15+M67*0.15,1))</f>
        <v/>
      </c>
      <c r="O67">
        <f>IF(N67="","",IF(N67&lt;3,"冰点期",IF(N67&lt;5,"退潮/修复期",IF(N67&lt;7,"回暖/上升期",IF(N67&lt;9,"高潮期","极度亢奋")))))</f>
        <v/>
      </c>
      <c r="P67">
        <f>IF(N67="","",IF(N67&lt;3,"空仓观望",IF(N67&lt;5,"1-2成试探",IF(N67&lt;7,"3-5成正常参与",IF(N67&lt;9,"5-8成积极参与","3成以下防守")))))</f>
        <v/>
      </c>
    </row>
    <row r="68">
      <c r="C68">
        <f>IF(B68="","",IF(B68&lt;20,1.5,IF(B68&lt;40,3.5,IF(B68&lt;70,5.5,IF(B68&lt;100,7.5,9.5)))))</f>
        <v/>
      </c>
      <c r="E68">
        <f>IF(D68="","",IF(D68&lt;40,2,IF(D68&lt;55,4.5,IF(D68&lt;70,6.5,IF(D68&lt;85,8.5,10)))))</f>
        <v/>
      </c>
      <c r="G68">
        <f>IF(F68="","",IF(F68&lt;-5,1,IF(F68&lt;-2,2.5,IF(F68&lt;0,4.5,IF(F68&lt;3,6.5,IF(F68&lt;6,8.5,10))))))</f>
        <v/>
      </c>
      <c r="I68">
        <f>IF(H68="","",IF(H68&lt;2,1,IF(H68&lt;3,3,IF(H68&lt;4,5,IF(H68&lt;6,7,IF(H68&lt;8,8,9.5))))))</f>
        <v/>
      </c>
      <c r="K68">
        <f>IF(J68="","",IF(J68&lt;0.3,1,IF(J68&lt;0.6,2.5,IF(J68&lt;1,4.5,IF(J68&lt;2,6.5,IF(J68&lt;3,8.5,10))))))</f>
        <v/>
      </c>
      <c r="M68">
        <f>IF(L68="","",IF(L68&gt;30,1,IF(L68&gt;20,2.5,IF(L68&gt;10,4.5,IF(L68&gt;5,6.5,IF(L68&gt;0,8.5,10))))))</f>
        <v/>
      </c>
      <c r="N68">
        <f>IF(C68="","",ROUND(C68*0.15+E68*0.15+G68*0.25+I68*0.15+K68*0.15+M68*0.15,1))</f>
        <v/>
      </c>
      <c r="O68">
        <f>IF(N68="","",IF(N68&lt;3,"冰点期",IF(N68&lt;5,"退潮/修复期",IF(N68&lt;7,"回暖/上升期",IF(N68&lt;9,"高潮期","极度亢奋")))))</f>
        <v/>
      </c>
      <c r="P68">
        <f>IF(N68="","",IF(N68&lt;3,"空仓观望",IF(N68&lt;5,"1-2成试探",IF(N68&lt;7,"3-5成正常参与",IF(N68&lt;9,"5-8成积极参与","3成以下防守")))))</f>
        <v/>
      </c>
    </row>
    <row r="69">
      <c r="C69">
        <f>IF(B69="","",IF(B69&lt;20,1.5,IF(B69&lt;40,3.5,IF(B69&lt;70,5.5,IF(B69&lt;100,7.5,9.5)))))</f>
        <v/>
      </c>
      <c r="E69">
        <f>IF(D69="","",IF(D69&lt;40,2,IF(D69&lt;55,4.5,IF(D69&lt;70,6.5,IF(D69&lt;85,8.5,10)))))</f>
        <v/>
      </c>
      <c r="G69">
        <f>IF(F69="","",IF(F69&lt;-5,1,IF(F69&lt;-2,2.5,IF(F69&lt;0,4.5,IF(F69&lt;3,6.5,IF(F69&lt;6,8.5,10))))))</f>
        <v/>
      </c>
      <c r="I69">
        <f>IF(H69="","",IF(H69&lt;2,1,IF(H69&lt;3,3,IF(H69&lt;4,5,IF(H69&lt;6,7,IF(H69&lt;8,8,9.5))))))</f>
        <v/>
      </c>
      <c r="K69">
        <f>IF(J69="","",IF(J69&lt;0.3,1,IF(J69&lt;0.6,2.5,IF(J69&lt;1,4.5,IF(J69&lt;2,6.5,IF(J69&lt;3,8.5,10))))))</f>
        <v/>
      </c>
      <c r="M69">
        <f>IF(L69="","",IF(L69&gt;30,1,IF(L69&gt;20,2.5,IF(L69&gt;10,4.5,IF(L69&gt;5,6.5,IF(L69&gt;0,8.5,10))))))</f>
        <v/>
      </c>
      <c r="N69">
        <f>IF(C69="","",ROUND(C69*0.15+E69*0.15+G69*0.25+I69*0.15+K69*0.15+M69*0.15,1))</f>
        <v/>
      </c>
      <c r="O69">
        <f>IF(N69="","",IF(N69&lt;3,"冰点期",IF(N69&lt;5,"退潮/修复期",IF(N69&lt;7,"回暖/上升期",IF(N69&lt;9,"高潮期","极度亢奋")))))</f>
        <v/>
      </c>
      <c r="P69">
        <f>IF(N69="","",IF(N69&lt;3,"空仓观望",IF(N69&lt;5,"1-2成试探",IF(N69&lt;7,"3-5成正常参与",IF(N69&lt;9,"5-8成积极参与","3成以下防守")))))</f>
        <v/>
      </c>
    </row>
    <row r="70">
      <c r="C70">
        <f>IF(B70="","",IF(B70&lt;20,1.5,IF(B70&lt;40,3.5,IF(B70&lt;70,5.5,IF(B70&lt;100,7.5,9.5)))))</f>
        <v/>
      </c>
      <c r="E70">
        <f>IF(D70="","",IF(D70&lt;40,2,IF(D70&lt;55,4.5,IF(D70&lt;70,6.5,IF(D70&lt;85,8.5,10)))))</f>
        <v/>
      </c>
      <c r="G70">
        <f>IF(F70="","",IF(F70&lt;-5,1,IF(F70&lt;-2,2.5,IF(F70&lt;0,4.5,IF(F70&lt;3,6.5,IF(F70&lt;6,8.5,10))))))</f>
        <v/>
      </c>
      <c r="I70">
        <f>IF(H70="","",IF(H70&lt;2,1,IF(H70&lt;3,3,IF(H70&lt;4,5,IF(H70&lt;6,7,IF(H70&lt;8,8,9.5))))))</f>
        <v/>
      </c>
      <c r="K70">
        <f>IF(J70="","",IF(J70&lt;0.3,1,IF(J70&lt;0.6,2.5,IF(J70&lt;1,4.5,IF(J70&lt;2,6.5,IF(J70&lt;3,8.5,10))))))</f>
        <v/>
      </c>
      <c r="M70">
        <f>IF(L70="","",IF(L70&gt;30,1,IF(L70&gt;20,2.5,IF(L70&gt;10,4.5,IF(L70&gt;5,6.5,IF(L70&gt;0,8.5,10))))))</f>
        <v/>
      </c>
      <c r="N70">
        <f>IF(C70="","",ROUND(C70*0.15+E70*0.15+G70*0.25+I70*0.15+K70*0.15+M70*0.15,1))</f>
        <v/>
      </c>
      <c r="O70">
        <f>IF(N70="","",IF(N70&lt;3,"冰点期",IF(N70&lt;5,"退潮/修复期",IF(N70&lt;7,"回暖/上升期",IF(N70&lt;9,"高潮期","极度亢奋")))))</f>
        <v/>
      </c>
      <c r="P70">
        <f>IF(N70="","",IF(N70&lt;3,"空仓观望",IF(N70&lt;5,"1-2成试探",IF(N70&lt;7,"3-5成正常参与",IF(N70&lt;9,"5-8成积极参与","3成以下防守")))))</f>
        <v/>
      </c>
    </row>
    <row r="71">
      <c r="C71">
        <f>IF(B71="","",IF(B71&lt;20,1.5,IF(B71&lt;40,3.5,IF(B71&lt;70,5.5,IF(B71&lt;100,7.5,9.5)))))</f>
        <v/>
      </c>
      <c r="E71">
        <f>IF(D71="","",IF(D71&lt;40,2,IF(D71&lt;55,4.5,IF(D71&lt;70,6.5,IF(D71&lt;85,8.5,10)))))</f>
        <v/>
      </c>
      <c r="G71">
        <f>IF(F71="","",IF(F71&lt;-5,1,IF(F71&lt;-2,2.5,IF(F71&lt;0,4.5,IF(F71&lt;3,6.5,IF(F71&lt;6,8.5,10))))))</f>
        <v/>
      </c>
      <c r="I71">
        <f>IF(H71="","",IF(H71&lt;2,1,IF(H71&lt;3,3,IF(H71&lt;4,5,IF(H71&lt;6,7,IF(H71&lt;8,8,9.5))))))</f>
        <v/>
      </c>
      <c r="K71">
        <f>IF(J71="","",IF(J71&lt;0.3,1,IF(J71&lt;0.6,2.5,IF(J71&lt;1,4.5,IF(J71&lt;2,6.5,IF(J71&lt;3,8.5,10))))))</f>
        <v/>
      </c>
      <c r="M71">
        <f>IF(L71="","",IF(L71&gt;30,1,IF(L71&gt;20,2.5,IF(L71&gt;10,4.5,IF(L71&gt;5,6.5,IF(L71&gt;0,8.5,10))))))</f>
        <v/>
      </c>
      <c r="N71">
        <f>IF(C71="","",ROUND(C71*0.15+E71*0.15+G71*0.25+I71*0.15+K71*0.15+M71*0.15,1))</f>
        <v/>
      </c>
      <c r="O71">
        <f>IF(N71="","",IF(N71&lt;3,"冰点期",IF(N71&lt;5,"退潮/修复期",IF(N71&lt;7,"回暖/上升期",IF(N71&lt;9,"高潮期","极度亢奋")))))</f>
        <v/>
      </c>
      <c r="P71">
        <f>IF(N71="","",IF(N71&lt;3,"空仓观望",IF(N71&lt;5,"1-2成试探",IF(N71&lt;7,"3-5成正常参与",IF(N71&lt;9,"5-8成积极参与","3成以下防守")))))</f>
        <v/>
      </c>
    </row>
    <row r="72">
      <c r="C72">
        <f>IF(B72="","",IF(B72&lt;20,1.5,IF(B72&lt;40,3.5,IF(B72&lt;70,5.5,IF(B72&lt;100,7.5,9.5)))))</f>
        <v/>
      </c>
      <c r="E72">
        <f>IF(D72="","",IF(D72&lt;40,2,IF(D72&lt;55,4.5,IF(D72&lt;70,6.5,IF(D72&lt;85,8.5,10)))))</f>
        <v/>
      </c>
      <c r="G72">
        <f>IF(F72="","",IF(F72&lt;-5,1,IF(F72&lt;-2,2.5,IF(F72&lt;0,4.5,IF(F72&lt;3,6.5,IF(F72&lt;6,8.5,10))))))</f>
        <v/>
      </c>
      <c r="I72">
        <f>IF(H72="","",IF(H72&lt;2,1,IF(H72&lt;3,3,IF(H72&lt;4,5,IF(H72&lt;6,7,IF(H72&lt;8,8,9.5))))))</f>
        <v/>
      </c>
      <c r="K72">
        <f>IF(J72="","",IF(J72&lt;0.3,1,IF(J72&lt;0.6,2.5,IF(J72&lt;1,4.5,IF(J72&lt;2,6.5,IF(J72&lt;3,8.5,10))))))</f>
        <v/>
      </c>
      <c r="M72">
        <f>IF(L72="","",IF(L72&gt;30,1,IF(L72&gt;20,2.5,IF(L72&gt;10,4.5,IF(L72&gt;5,6.5,IF(L72&gt;0,8.5,10))))))</f>
        <v/>
      </c>
      <c r="N72">
        <f>IF(C72="","",ROUND(C72*0.15+E72*0.15+G72*0.25+I72*0.15+K72*0.15+M72*0.15,1))</f>
        <v/>
      </c>
      <c r="O72">
        <f>IF(N72="","",IF(N72&lt;3,"冰点期",IF(N72&lt;5,"退潮/修复期",IF(N72&lt;7,"回暖/上升期",IF(N72&lt;9,"高潮期","极度亢奋")))))</f>
        <v/>
      </c>
      <c r="P72">
        <f>IF(N72="","",IF(N72&lt;3,"空仓观望",IF(N72&lt;5,"1-2成试探",IF(N72&lt;7,"3-5成正常参与",IF(N72&lt;9,"5-8成积极参与","3成以下防守")))))</f>
        <v/>
      </c>
    </row>
    <row r="73">
      <c r="C73">
        <f>IF(B73="","",IF(B73&lt;20,1.5,IF(B73&lt;40,3.5,IF(B73&lt;70,5.5,IF(B73&lt;100,7.5,9.5)))))</f>
        <v/>
      </c>
      <c r="E73">
        <f>IF(D73="","",IF(D73&lt;40,2,IF(D73&lt;55,4.5,IF(D73&lt;70,6.5,IF(D73&lt;85,8.5,10)))))</f>
        <v/>
      </c>
      <c r="G73">
        <f>IF(F73="","",IF(F73&lt;-5,1,IF(F73&lt;-2,2.5,IF(F73&lt;0,4.5,IF(F73&lt;3,6.5,IF(F73&lt;6,8.5,10))))))</f>
        <v/>
      </c>
      <c r="I73">
        <f>IF(H73="","",IF(H73&lt;2,1,IF(H73&lt;3,3,IF(H73&lt;4,5,IF(H73&lt;6,7,IF(H73&lt;8,8,9.5))))))</f>
        <v/>
      </c>
      <c r="K73">
        <f>IF(J73="","",IF(J73&lt;0.3,1,IF(J73&lt;0.6,2.5,IF(J73&lt;1,4.5,IF(J73&lt;2,6.5,IF(J73&lt;3,8.5,10))))))</f>
        <v/>
      </c>
      <c r="M73">
        <f>IF(L73="","",IF(L73&gt;30,1,IF(L73&gt;20,2.5,IF(L73&gt;10,4.5,IF(L73&gt;5,6.5,IF(L73&gt;0,8.5,10))))))</f>
        <v/>
      </c>
      <c r="N73">
        <f>IF(C73="","",ROUND(C73*0.15+E73*0.15+G73*0.25+I73*0.15+K73*0.15+M73*0.15,1))</f>
        <v/>
      </c>
      <c r="O73">
        <f>IF(N73="","",IF(N73&lt;3,"冰点期",IF(N73&lt;5,"退潮/修复期",IF(N73&lt;7,"回暖/上升期",IF(N73&lt;9,"高潮期","极度亢奋")))))</f>
        <v/>
      </c>
      <c r="P73">
        <f>IF(N73="","",IF(N73&lt;3,"空仓观望",IF(N73&lt;5,"1-2成试探",IF(N73&lt;7,"3-5成正常参与",IF(N73&lt;9,"5-8成积极参与","3成以下防守")))))</f>
        <v/>
      </c>
    </row>
    <row r="74">
      <c r="C74">
        <f>IF(B74="","",IF(B74&lt;20,1.5,IF(B74&lt;40,3.5,IF(B74&lt;70,5.5,IF(B74&lt;100,7.5,9.5)))))</f>
        <v/>
      </c>
      <c r="E74">
        <f>IF(D74="","",IF(D74&lt;40,2,IF(D74&lt;55,4.5,IF(D74&lt;70,6.5,IF(D74&lt;85,8.5,10)))))</f>
        <v/>
      </c>
      <c r="G74">
        <f>IF(F74="","",IF(F74&lt;-5,1,IF(F74&lt;-2,2.5,IF(F74&lt;0,4.5,IF(F74&lt;3,6.5,IF(F74&lt;6,8.5,10))))))</f>
        <v/>
      </c>
      <c r="I74">
        <f>IF(H74="","",IF(H74&lt;2,1,IF(H74&lt;3,3,IF(H74&lt;4,5,IF(H74&lt;6,7,IF(H74&lt;8,8,9.5))))))</f>
        <v/>
      </c>
      <c r="K74">
        <f>IF(J74="","",IF(J74&lt;0.3,1,IF(J74&lt;0.6,2.5,IF(J74&lt;1,4.5,IF(J74&lt;2,6.5,IF(J74&lt;3,8.5,10))))))</f>
        <v/>
      </c>
      <c r="M74">
        <f>IF(L74="","",IF(L74&gt;30,1,IF(L74&gt;20,2.5,IF(L74&gt;10,4.5,IF(L74&gt;5,6.5,IF(L74&gt;0,8.5,10))))))</f>
        <v/>
      </c>
      <c r="N74">
        <f>IF(C74="","",ROUND(C74*0.15+E74*0.15+G74*0.25+I74*0.15+K74*0.15+M74*0.15,1))</f>
        <v/>
      </c>
      <c r="O74">
        <f>IF(N74="","",IF(N74&lt;3,"冰点期",IF(N74&lt;5,"退潮/修复期",IF(N74&lt;7,"回暖/上升期",IF(N74&lt;9,"高潮期","极度亢奋")))))</f>
        <v/>
      </c>
      <c r="P74">
        <f>IF(N74="","",IF(N74&lt;3,"空仓观望",IF(N74&lt;5,"1-2成试探",IF(N74&lt;7,"3-5成正常参与",IF(N74&lt;9,"5-8成积极参与","3成以下防守")))))</f>
        <v/>
      </c>
    </row>
    <row r="75">
      <c r="C75">
        <f>IF(B75="","",IF(B75&lt;20,1.5,IF(B75&lt;40,3.5,IF(B75&lt;70,5.5,IF(B75&lt;100,7.5,9.5)))))</f>
        <v/>
      </c>
      <c r="E75">
        <f>IF(D75="","",IF(D75&lt;40,2,IF(D75&lt;55,4.5,IF(D75&lt;70,6.5,IF(D75&lt;85,8.5,10)))))</f>
        <v/>
      </c>
      <c r="G75">
        <f>IF(F75="","",IF(F75&lt;-5,1,IF(F75&lt;-2,2.5,IF(F75&lt;0,4.5,IF(F75&lt;3,6.5,IF(F75&lt;6,8.5,10))))))</f>
        <v/>
      </c>
      <c r="I75">
        <f>IF(H75="","",IF(H75&lt;2,1,IF(H75&lt;3,3,IF(H75&lt;4,5,IF(H75&lt;6,7,IF(H75&lt;8,8,9.5))))))</f>
        <v/>
      </c>
      <c r="K75">
        <f>IF(J75="","",IF(J75&lt;0.3,1,IF(J75&lt;0.6,2.5,IF(J75&lt;1,4.5,IF(J75&lt;2,6.5,IF(J75&lt;3,8.5,10))))))</f>
        <v/>
      </c>
      <c r="M75">
        <f>IF(L75="","",IF(L75&gt;30,1,IF(L75&gt;20,2.5,IF(L75&gt;10,4.5,IF(L75&gt;5,6.5,IF(L75&gt;0,8.5,10))))))</f>
        <v/>
      </c>
      <c r="N75">
        <f>IF(C75="","",ROUND(C75*0.15+E75*0.15+G75*0.25+I75*0.15+K75*0.15+M75*0.15,1))</f>
        <v/>
      </c>
      <c r="O75">
        <f>IF(N75="","",IF(N75&lt;3,"冰点期",IF(N75&lt;5,"退潮/修复期",IF(N75&lt;7,"回暖/上升期",IF(N75&lt;9,"高潮期","极度亢奋")))))</f>
        <v/>
      </c>
      <c r="P75">
        <f>IF(N75="","",IF(N75&lt;3,"空仓观望",IF(N75&lt;5,"1-2成试探",IF(N75&lt;7,"3-5成正常参与",IF(N75&lt;9,"5-8成积极参与","3成以下防守")))))</f>
        <v/>
      </c>
    </row>
    <row r="76">
      <c r="C76">
        <f>IF(B76="","",IF(B76&lt;20,1.5,IF(B76&lt;40,3.5,IF(B76&lt;70,5.5,IF(B76&lt;100,7.5,9.5)))))</f>
        <v/>
      </c>
      <c r="E76">
        <f>IF(D76="","",IF(D76&lt;40,2,IF(D76&lt;55,4.5,IF(D76&lt;70,6.5,IF(D76&lt;85,8.5,10)))))</f>
        <v/>
      </c>
      <c r="G76">
        <f>IF(F76="","",IF(F76&lt;-5,1,IF(F76&lt;-2,2.5,IF(F76&lt;0,4.5,IF(F76&lt;3,6.5,IF(F76&lt;6,8.5,10))))))</f>
        <v/>
      </c>
      <c r="I76">
        <f>IF(H76="","",IF(H76&lt;2,1,IF(H76&lt;3,3,IF(H76&lt;4,5,IF(H76&lt;6,7,IF(H76&lt;8,8,9.5))))))</f>
        <v/>
      </c>
      <c r="K76">
        <f>IF(J76="","",IF(J76&lt;0.3,1,IF(J76&lt;0.6,2.5,IF(J76&lt;1,4.5,IF(J76&lt;2,6.5,IF(J76&lt;3,8.5,10))))))</f>
        <v/>
      </c>
      <c r="M76">
        <f>IF(L76="","",IF(L76&gt;30,1,IF(L76&gt;20,2.5,IF(L76&gt;10,4.5,IF(L76&gt;5,6.5,IF(L76&gt;0,8.5,10))))))</f>
        <v/>
      </c>
      <c r="N76">
        <f>IF(C76="","",ROUND(C76*0.15+E76*0.15+G76*0.25+I76*0.15+K76*0.15+M76*0.15,1))</f>
        <v/>
      </c>
      <c r="O76">
        <f>IF(N76="","",IF(N76&lt;3,"冰点期",IF(N76&lt;5,"退潮/修复期",IF(N76&lt;7,"回暖/上升期",IF(N76&lt;9,"高潮期","极度亢奋")))))</f>
        <v/>
      </c>
      <c r="P76">
        <f>IF(N76="","",IF(N76&lt;3,"空仓观望",IF(N76&lt;5,"1-2成试探",IF(N76&lt;7,"3-5成正常参与",IF(N76&lt;9,"5-8成积极参与","3成以下防守")))))</f>
        <v/>
      </c>
    </row>
    <row r="77">
      <c r="C77">
        <f>IF(B77="","",IF(B77&lt;20,1.5,IF(B77&lt;40,3.5,IF(B77&lt;70,5.5,IF(B77&lt;100,7.5,9.5)))))</f>
        <v/>
      </c>
      <c r="E77">
        <f>IF(D77="","",IF(D77&lt;40,2,IF(D77&lt;55,4.5,IF(D77&lt;70,6.5,IF(D77&lt;85,8.5,10)))))</f>
        <v/>
      </c>
      <c r="G77">
        <f>IF(F77="","",IF(F77&lt;-5,1,IF(F77&lt;-2,2.5,IF(F77&lt;0,4.5,IF(F77&lt;3,6.5,IF(F77&lt;6,8.5,10))))))</f>
        <v/>
      </c>
      <c r="I77">
        <f>IF(H77="","",IF(H77&lt;2,1,IF(H77&lt;3,3,IF(H77&lt;4,5,IF(H77&lt;6,7,IF(H77&lt;8,8,9.5))))))</f>
        <v/>
      </c>
      <c r="K77">
        <f>IF(J77="","",IF(J77&lt;0.3,1,IF(J77&lt;0.6,2.5,IF(J77&lt;1,4.5,IF(J77&lt;2,6.5,IF(J77&lt;3,8.5,10))))))</f>
        <v/>
      </c>
      <c r="M77">
        <f>IF(L77="","",IF(L77&gt;30,1,IF(L77&gt;20,2.5,IF(L77&gt;10,4.5,IF(L77&gt;5,6.5,IF(L77&gt;0,8.5,10))))))</f>
        <v/>
      </c>
      <c r="N77">
        <f>IF(C77="","",ROUND(C77*0.15+E77*0.15+G77*0.25+I77*0.15+K77*0.15+M77*0.15,1))</f>
        <v/>
      </c>
      <c r="O77">
        <f>IF(N77="","",IF(N77&lt;3,"冰点期",IF(N77&lt;5,"退潮/修复期",IF(N77&lt;7,"回暖/上升期",IF(N77&lt;9,"高潮期","极度亢奋")))))</f>
        <v/>
      </c>
      <c r="P77">
        <f>IF(N77="","",IF(N77&lt;3,"空仓观望",IF(N77&lt;5,"1-2成试探",IF(N77&lt;7,"3-5成正常参与",IF(N77&lt;9,"5-8成积极参与","3成以下防守")))))</f>
        <v/>
      </c>
    </row>
    <row r="78">
      <c r="C78">
        <f>IF(B78="","",IF(B78&lt;20,1.5,IF(B78&lt;40,3.5,IF(B78&lt;70,5.5,IF(B78&lt;100,7.5,9.5)))))</f>
        <v/>
      </c>
      <c r="E78">
        <f>IF(D78="","",IF(D78&lt;40,2,IF(D78&lt;55,4.5,IF(D78&lt;70,6.5,IF(D78&lt;85,8.5,10)))))</f>
        <v/>
      </c>
      <c r="G78">
        <f>IF(F78="","",IF(F78&lt;-5,1,IF(F78&lt;-2,2.5,IF(F78&lt;0,4.5,IF(F78&lt;3,6.5,IF(F78&lt;6,8.5,10))))))</f>
        <v/>
      </c>
      <c r="I78">
        <f>IF(H78="","",IF(H78&lt;2,1,IF(H78&lt;3,3,IF(H78&lt;4,5,IF(H78&lt;6,7,IF(H78&lt;8,8,9.5))))))</f>
        <v/>
      </c>
      <c r="K78">
        <f>IF(J78="","",IF(J78&lt;0.3,1,IF(J78&lt;0.6,2.5,IF(J78&lt;1,4.5,IF(J78&lt;2,6.5,IF(J78&lt;3,8.5,10))))))</f>
        <v/>
      </c>
      <c r="M78">
        <f>IF(L78="","",IF(L78&gt;30,1,IF(L78&gt;20,2.5,IF(L78&gt;10,4.5,IF(L78&gt;5,6.5,IF(L78&gt;0,8.5,10))))))</f>
        <v/>
      </c>
      <c r="N78">
        <f>IF(C78="","",ROUND(C78*0.15+E78*0.15+G78*0.25+I78*0.15+K78*0.15+M78*0.15,1))</f>
        <v/>
      </c>
      <c r="O78">
        <f>IF(N78="","",IF(N78&lt;3,"冰点期",IF(N78&lt;5,"退潮/修复期",IF(N78&lt;7,"回暖/上升期",IF(N78&lt;9,"高潮期","极度亢奋")))))</f>
        <v/>
      </c>
      <c r="P78">
        <f>IF(N78="","",IF(N78&lt;3,"空仓观望",IF(N78&lt;5,"1-2成试探",IF(N78&lt;7,"3-5成正常参与",IF(N78&lt;9,"5-8成积极参与","3成以下防守")))))</f>
        <v/>
      </c>
    </row>
    <row r="79">
      <c r="C79">
        <f>IF(B79="","",IF(B79&lt;20,1.5,IF(B79&lt;40,3.5,IF(B79&lt;70,5.5,IF(B79&lt;100,7.5,9.5)))))</f>
        <v/>
      </c>
      <c r="E79">
        <f>IF(D79="","",IF(D79&lt;40,2,IF(D79&lt;55,4.5,IF(D79&lt;70,6.5,IF(D79&lt;85,8.5,10)))))</f>
        <v/>
      </c>
      <c r="G79">
        <f>IF(F79="","",IF(F79&lt;-5,1,IF(F79&lt;-2,2.5,IF(F79&lt;0,4.5,IF(F79&lt;3,6.5,IF(F79&lt;6,8.5,10))))))</f>
        <v/>
      </c>
      <c r="I79">
        <f>IF(H79="","",IF(H79&lt;2,1,IF(H79&lt;3,3,IF(H79&lt;4,5,IF(H79&lt;6,7,IF(H79&lt;8,8,9.5))))))</f>
        <v/>
      </c>
      <c r="K79">
        <f>IF(J79="","",IF(J79&lt;0.3,1,IF(J79&lt;0.6,2.5,IF(J79&lt;1,4.5,IF(J79&lt;2,6.5,IF(J79&lt;3,8.5,10))))))</f>
        <v/>
      </c>
      <c r="M79">
        <f>IF(L79="","",IF(L79&gt;30,1,IF(L79&gt;20,2.5,IF(L79&gt;10,4.5,IF(L79&gt;5,6.5,IF(L79&gt;0,8.5,10))))))</f>
        <v/>
      </c>
      <c r="N79">
        <f>IF(C79="","",ROUND(C79*0.15+E79*0.15+G79*0.25+I79*0.15+K79*0.15+M79*0.15,1))</f>
        <v/>
      </c>
      <c r="O79">
        <f>IF(N79="","",IF(N79&lt;3,"冰点期",IF(N79&lt;5,"退潮/修复期",IF(N79&lt;7,"回暖/上升期",IF(N79&lt;9,"高潮期","极度亢奋")))))</f>
        <v/>
      </c>
      <c r="P79">
        <f>IF(N79="","",IF(N79&lt;3,"空仓观望",IF(N79&lt;5,"1-2成试探",IF(N79&lt;7,"3-5成正常参与",IF(N79&lt;9,"5-8成积极参与","3成以下防守")))))</f>
        <v/>
      </c>
    </row>
    <row r="80">
      <c r="C80">
        <f>IF(B80="","",IF(B80&lt;20,1.5,IF(B80&lt;40,3.5,IF(B80&lt;70,5.5,IF(B80&lt;100,7.5,9.5)))))</f>
        <v/>
      </c>
      <c r="E80">
        <f>IF(D80="","",IF(D80&lt;40,2,IF(D80&lt;55,4.5,IF(D80&lt;70,6.5,IF(D80&lt;85,8.5,10)))))</f>
        <v/>
      </c>
      <c r="G80">
        <f>IF(F80="","",IF(F80&lt;-5,1,IF(F80&lt;-2,2.5,IF(F80&lt;0,4.5,IF(F80&lt;3,6.5,IF(F80&lt;6,8.5,10))))))</f>
        <v/>
      </c>
      <c r="I80">
        <f>IF(H80="","",IF(H80&lt;2,1,IF(H80&lt;3,3,IF(H80&lt;4,5,IF(H80&lt;6,7,IF(H80&lt;8,8,9.5))))))</f>
        <v/>
      </c>
      <c r="K80">
        <f>IF(J80="","",IF(J80&lt;0.3,1,IF(J80&lt;0.6,2.5,IF(J80&lt;1,4.5,IF(J80&lt;2,6.5,IF(J80&lt;3,8.5,10))))))</f>
        <v/>
      </c>
      <c r="M80">
        <f>IF(L80="","",IF(L80&gt;30,1,IF(L80&gt;20,2.5,IF(L80&gt;10,4.5,IF(L80&gt;5,6.5,IF(L80&gt;0,8.5,10))))))</f>
        <v/>
      </c>
      <c r="N80">
        <f>IF(C80="","",ROUND(C80*0.15+E80*0.15+G80*0.25+I80*0.15+K80*0.15+M80*0.15,1))</f>
        <v/>
      </c>
      <c r="O80">
        <f>IF(N80="","",IF(N80&lt;3,"冰点期",IF(N80&lt;5,"退潮/修复期",IF(N80&lt;7,"回暖/上升期",IF(N80&lt;9,"高潮期","极度亢奋")))))</f>
        <v/>
      </c>
      <c r="P80">
        <f>IF(N80="","",IF(N80&lt;3,"空仓观望",IF(N80&lt;5,"1-2成试探",IF(N80&lt;7,"3-5成正常参与",IF(N80&lt;9,"5-8成积极参与","3成以下防守")))))</f>
        <v/>
      </c>
    </row>
    <row r="81">
      <c r="C81">
        <f>IF(B81="","",IF(B81&lt;20,1.5,IF(B81&lt;40,3.5,IF(B81&lt;70,5.5,IF(B81&lt;100,7.5,9.5)))))</f>
        <v/>
      </c>
      <c r="E81">
        <f>IF(D81="","",IF(D81&lt;40,2,IF(D81&lt;55,4.5,IF(D81&lt;70,6.5,IF(D81&lt;85,8.5,10)))))</f>
        <v/>
      </c>
      <c r="G81">
        <f>IF(F81="","",IF(F81&lt;-5,1,IF(F81&lt;-2,2.5,IF(F81&lt;0,4.5,IF(F81&lt;3,6.5,IF(F81&lt;6,8.5,10))))))</f>
        <v/>
      </c>
      <c r="I81">
        <f>IF(H81="","",IF(H81&lt;2,1,IF(H81&lt;3,3,IF(H81&lt;4,5,IF(H81&lt;6,7,IF(H81&lt;8,8,9.5))))))</f>
        <v/>
      </c>
      <c r="K81">
        <f>IF(J81="","",IF(J81&lt;0.3,1,IF(J81&lt;0.6,2.5,IF(J81&lt;1,4.5,IF(J81&lt;2,6.5,IF(J81&lt;3,8.5,10))))))</f>
        <v/>
      </c>
      <c r="M81">
        <f>IF(L81="","",IF(L81&gt;30,1,IF(L81&gt;20,2.5,IF(L81&gt;10,4.5,IF(L81&gt;5,6.5,IF(L81&gt;0,8.5,10))))))</f>
        <v/>
      </c>
      <c r="N81">
        <f>IF(C81="","",ROUND(C81*0.15+E81*0.15+G81*0.25+I81*0.15+K81*0.15+M81*0.15,1))</f>
        <v/>
      </c>
      <c r="O81">
        <f>IF(N81="","",IF(N81&lt;3,"冰点期",IF(N81&lt;5,"退潮/修复期",IF(N81&lt;7,"回暖/上升期",IF(N81&lt;9,"高潮期","极度亢奋")))))</f>
        <v/>
      </c>
      <c r="P81">
        <f>IF(N81="","",IF(N81&lt;3,"空仓观望",IF(N81&lt;5,"1-2成试探",IF(N81&lt;7,"3-5成正常参与",IF(N81&lt;9,"5-8成积极参与","3成以下防守")))))</f>
        <v/>
      </c>
    </row>
    <row r="82">
      <c r="C82">
        <f>IF(B82="","",IF(B82&lt;20,1.5,IF(B82&lt;40,3.5,IF(B82&lt;70,5.5,IF(B82&lt;100,7.5,9.5)))))</f>
        <v/>
      </c>
      <c r="E82">
        <f>IF(D82="","",IF(D82&lt;40,2,IF(D82&lt;55,4.5,IF(D82&lt;70,6.5,IF(D82&lt;85,8.5,10)))))</f>
        <v/>
      </c>
      <c r="G82">
        <f>IF(F82="","",IF(F82&lt;-5,1,IF(F82&lt;-2,2.5,IF(F82&lt;0,4.5,IF(F82&lt;3,6.5,IF(F82&lt;6,8.5,10))))))</f>
        <v/>
      </c>
      <c r="I82">
        <f>IF(H82="","",IF(H82&lt;2,1,IF(H82&lt;3,3,IF(H82&lt;4,5,IF(H82&lt;6,7,IF(H82&lt;8,8,9.5))))))</f>
        <v/>
      </c>
      <c r="K82">
        <f>IF(J82="","",IF(J82&lt;0.3,1,IF(J82&lt;0.6,2.5,IF(J82&lt;1,4.5,IF(J82&lt;2,6.5,IF(J82&lt;3,8.5,10))))))</f>
        <v/>
      </c>
      <c r="M82">
        <f>IF(L82="","",IF(L82&gt;30,1,IF(L82&gt;20,2.5,IF(L82&gt;10,4.5,IF(L82&gt;5,6.5,IF(L82&gt;0,8.5,10))))))</f>
        <v/>
      </c>
      <c r="N82">
        <f>IF(C82="","",ROUND(C82*0.15+E82*0.15+G82*0.25+I82*0.15+K82*0.15+M82*0.15,1))</f>
        <v/>
      </c>
      <c r="O82">
        <f>IF(N82="","",IF(N82&lt;3,"冰点期",IF(N82&lt;5,"退潮/修复期",IF(N82&lt;7,"回暖/上升期",IF(N82&lt;9,"高潮期","极度亢奋")))))</f>
        <v/>
      </c>
      <c r="P82">
        <f>IF(N82="","",IF(N82&lt;3,"空仓观望",IF(N82&lt;5,"1-2成试探",IF(N82&lt;7,"3-5成正常参与",IF(N82&lt;9,"5-8成积极参与","3成以下防守")))))</f>
        <v/>
      </c>
    </row>
    <row r="83">
      <c r="C83">
        <f>IF(B83="","",IF(B83&lt;20,1.5,IF(B83&lt;40,3.5,IF(B83&lt;70,5.5,IF(B83&lt;100,7.5,9.5)))))</f>
        <v/>
      </c>
      <c r="E83">
        <f>IF(D83="","",IF(D83&lt;40,2,IF(D83&lt;55,4.5,IF(D83&lt;70,6.5,IF(D83&lt;85,8.5,10)))))</f>
        <v/>
      </c>
      <c r="G83">
        <f>IF(F83="","",IF(F83&lt;-5,1,IF(F83&lt;-2,2.5,IF(F83&lt;0,4.5,IF(F83&lt;3,6.5,IF(F83&lt;6,8.5,10))))))</f>
        <v/>
      </c>
      <c r="I83">
        <f>IF(H83="","",IF(H83&lt;2,1,IF(H83&lt;3,3,IF(H83&lt;4,5,IF(H83&lt;6,7,IF(H83&lt;8,8,9.5))))))</f>
        <v/>
      </c>
      <c r="K83">
        <f>IF(J83="","",IF(J83&lt;0.3,1,IF(J83&lt;0.6,2.5,IF(J83&lt;1,4.5,IF(J83&lt;2,6.5,IF(J83&lt;3,8.5,10))))))</f>
        <v/>
      </c>
      <c r="M83">
        <f>IF(L83="","",IF(L83&gt;30,1,IF(L83&gt;20,2.5,IF(L83&gt;10,4.5,IF(L83&gt;5,6.5,IF(L83&gt;0,8.5,10))))))</f>
        <v/>
      </c>
      <c r="N83">
        <f>IF(C83="","",ROUND(C83*0.15+E83*0.15+G83*0.25+I83*0.15+K83*0.15+M83*0.15,1))</f>
        <v/>
      </c>
      <c r="O83">
        <f>IF(N83="","",IF(N83&lt;3,"冰点期",IF(N83&lt;5,"退潮/修复期",IF(N83&lt;7,"回暖/上升期",IF(N83&lt;9,"高潮期","极度亢奋")))))</f>
        <v/>
      </c>
      <c r="P83">
        <f>IF(N83="","",IF(N83&lt;3,"空仓观望",IF(N83&lt;5,"1-2成试探",IF(N83&lt;7,"3-5成正常参与",IF(N83&lt;9,"5-8成积极参与","3成以下防守")))))</f>
        <v/>
      </c>
    </row>
    <row r="84">
      <c r="C84">
        <f>IF(B84="","",IF(B84&lt;20,1.5,IF(B84&lt;40,3.5,IF(B84&lt;70,5.5,IF(B84&lt;100,7.5,9.5)))))</f>
        <v/>
      </c>
      <c r="E84">
        <f>IF(D84="","",IF(D84&lt;40,2,IF(D84&lt;55,4.5,IF(D84&lt;70,6.5,IF(D84&lt;85,8.5,10)))))</f>
        <v/>
      </c>
      <c r="G84">
        <f>IF(F84="","",IF(F84&lt;-5,1,IF(F84&lt;-2,2.5,IF(F84&lt;0,4.5,IF(F84&lt;3,6.5,IF(F84&lt;6,8.5,10))))))</f>
        <v/>
      </c>
      <c r="I84">
        <f>IF(H84="","",IF(H84&lt;2,1,IF(H84&lt;3,3,IF(H84&lt;4,5,IF(H84&lt;6,7,IF(H84&lt;8,8,9.5))))))</f>
        <v/>
      </c>
      <c r="K84">
        <f>IF(J84="","",IF(J84&lt;0.3,1,IF(J84&lt;0.6,2.5,IF(J84&lt;1,4.5,IF(J84&lt;2,6.5,IF(J84&lt;3,8.5,10))))))</f>
        <v/>
      </c>
      <c r="M84">
        <f>IF(L84="","",IF(L84&gt;30,1,IF(L84&gt;20,2.5,IF(L84&gt;10,4.5,IF(L84&gt;5,6.5,IF(L84&gt;0,8.5,10))))))</f>
        <v/>
      </c>
      <c r="N84">
        <f>IF(C84="","",ROUND(C84*0.15+E84*0.15+G84*0.25+I84*0.15+K84*0.15+M84*0.15,1))</f>
        <v/>
      </c>
      <c r="O84">
        <f>IF(N84="","",IF(N84&lt;3,"冰点期",IF(N84&lt;5,"退潮/修复期",IF(N84&lt;7,"回暖/上升期",IF(N84&lt;9,"高潮期","极度亢奋")))))</f>
        <v/>
      </c>
      <c r="P84">
        <f>IF(N84="","",IF(N84&lt;3,"空仓观望",IF(N84&lt;5,"1-2成试探",IF(N84&lt;7,"3-5成正常参与",IF(N84&lt;9,"5-8成积极参与","3成以下防守")))))</f>
        <v/>
      </c>
    </row>
    <row r="85">
      <c r="C85">
        <f>IF(B85="","",IF(B85&lt;20,1.5,IF(B85&lt;40,3.5,IF(B85&lt;70,5.5,IF(B85&lt;100,7.5,9.5)))))</f>
        <v/>
      </c>
      <c r="E85">
        <f>IF(D85="","",IF(D85&lt;40,2,IF(D85&lt;55,4.5,IF(D85&lt;70,6.5,IF(D85&lt;85,8.5,10)))))</f>
        <v/>
      </c>
      <c r="G85">
        <f>IF(F85="","",IF(F85&lt;-5,1,IF(F85&lt;-2,2.5,IF(F85&lt;0,4.5,IF(F85&lt;3,6.5,IF(F85&lt;6,8.5,10))))))</f>
        <v/>
      </c>
      <c r="I85">
        <f>IF(H85="","",IF(H85&lt;2,1,IF(H85&lt;3,3,IF(H85&lt;4,5,IF(H85&lt;6,7,IF(H85&lt;8,8,9.5))))))</f>
        <v/>
      </c>
      <c r="K85">
        <f>IF(J85="","",IF(J85&lt;0.3,1,IF(J85&lt;0.6,2.5,IF(J85&lt;1,4.5,IF(J85&lt;2,6.5,IF(J85&lt;3,8.5,10))))))</f>
        <v/>
      </c>
      <c r="M85">
        <f>IF(L85="","",IF(L85&gt;30,1,IF(L85&gt;20,2.5,IF(L85&gt;10,4.5,IF(L85&gt;5,6.5,IF(L85&gt;0,8.5,10))))))</f>
        <v/>
      </c>
      <c r="N85">
        <f>IF(C85="","",ROUND(C85*0.15+E85*0.15+G85*0.25+I85*0.15+K85*0.15+M85*0.15,1))</f>
        <v/>
      </c>
      <c r="O85">
        <f>IF(N85="","",IF(N85&lt;3,"冰点期",IF(N85&lt;5,"退潮/修复期",IF(N85&lt;7,"回暖/上升期",IF(N85&lt;9,"高潮期","极度亢奋")))))</f>
        <v/>
      </c>
      <c r="P85">
        <f>IF(N85="","",IF(N85&lt;3,"空仓观望",IF(N85&lt;5,"1-2成试探",IF(N85&lt;7,"3-5成正常参与",IF(N85&lt;9,"5-8成积极参与","3成以下防守")))))</f>
        <v/>
      </c>
    </row>
    <row r="86">
      <c r="C86">
        <f>IF(B86="","",IF(B86&lt;20,1.5,IF(B86&lt;40,3.5,IF(B86&lt;70,5.5,IF(B86&lt;100,7.5,9.5)))))</f>
        <v/>
      </c>
      <c r="E86">
        <f>IF(D86="","",IF(D86&lt;40,2,IF(D86&lt;55,4.5,IF(D86&lt;70,6.5,IF(D86&lt;85,8.5,10)))))</f>
        <v/>
      </c>
      <c r="G86">
        <f>IF(F86="","",IF(F86&lt;-5,1,IF(F86&lt;-2,2.5,IF(F86&lt;0,4.5,IF(F86&lt;3,6.5,IF(F86&lt;6,8.5,10))))))</f>
        <v/>
      </c>
      <c r="I86">
        <f>IF(H86="","",IF(H86&lt;2,1,IF(H86&lt;3,3,IF(H86&lt;4,5,IF(H86&lt;6,7,IF(H86&lt;8,8,9.5))))))</f>
        <v/>
      </c>
      <c r="K86">
        <f>IF(J86="","",IF(J86&lt;0.3,1,IF(J86&lt;0.6,2.5,IF(J86&lt;1,4.5,IF(J86&lt;2,6.5,IF(J86&lt;3,8.5,10))))))</f>
        <v/>
      </c>
      <c r="M86">
        <f>IF(L86="","",IF(L86&gt;30,1,IF(L86&gt;20,2.5,IF(L86&gt;10,4.5,IF(L86&gt;5,6.5,IF(L86&gt;0,8.5,10))))))</f>
        <v/>
      </c>
      <c r="N86">
        <f>IF(C86="","",ROUND(C86*0.15+E86*0.15+G86*0.25+I86*0.15+K86*0.15+M86*0.15,1))</f>
        <v/>
      </c>
      <c r="O86">
        <f>IF(N86="","",IF(N86&lt;3,"冰点期",IF(N86&lt;5,"退潮/修复期",IF(N86&lt;7,"回暖/上升期",IF(N86&lt;9,"高潮期","极度亢奋")))))</f>
        <v/>
      </c>
      <c r="P86">
        <f>IF(N86="","",IF(N86&lt;3,"空仓观望",IF(N86&lt;5,"1-2成试探",IF(N86&lt;7,"3-5成正常参与",IF(N86&lt;9,"5-8成积极参与","3成以下防守")))))</f>
        <v/>
      </c>
    </row>
    <row r="87">
      <c r="C87">
        <f>IF(B87="","",IF(B87&lt;20,1.5,IF(B87&lt;40,3.5,IF(B87&lt;70,5.5,IF(B87&lt;100,7.5,9.5)))))</f>
        <v/>
      </c>
      <c r="E87">
        <f>IF(D87="","",IF(D87&lt;40,2,IF(D87&lt;55,4.5,IF(D87&lt;70,6.5,IF(D87&lt;85,8.5,10)))))</f>
        <v/>
      </c>
      <c r="G87">
        <f>IF(F87="","",IF(F87&lt;-5,1,IF(F87&lt;-2,2.5,IF(F87&lt;0,4.5,IF(F87&lt;3,6.5,IF(F87&lt;6,8.5,10))))))</f>
        <v/>
      </c>
      <c r="I87">
        <f>IF(H87="","",IF(H87&lt;2,1,IF(H87&lt;3,3,IF(H87&lt;4,5,IF(H87&lt;6,7,IF(H87&lt;8,8,9.5))))))</f>
        <v/>
      </c>
      <c r="K87">
        <f>IF(J87="","",IF(J87&lt;0.3,1,IF(J87&lt;0.6,2.5,IF(J87&lt;1,4.5,IF(J87&lt;2,6.5,IF(J87&lt;3,8.5,10))))))</f>
        <v/>
      </c>
      <c r="M87">
        <f>IF(L87="","",IF(L87&gt;30,1,IF(L87&gt;20,2.5,IF(L87&gt;10,4.5,IF(L87&gt;5,6.5,IF(L87&gt;0,8.5,10))))))</f>
        <v/>
      </c>
      <c r="N87">
        <f>IF(C87="","",ROUND(C87*0.15+E87*0.15+G87*0.25+I87*0.15+K87*0.15+M87*0.15,1))</f>
        <v/>
      </c>
      <c r="O87">
        <f>IF(N87="","",IF(N87&lt;3,"冰点期",IF(N87&lt;5,"退潮/修复期",IF(N87&lt;7,"回暖/上升期",IF(N87&lt;9,"高潮期","极度亢奋")))))</f>
        <v/>
      </c>
      <c r="P87">
        <f>IF(N87="","",IF(N87&lt;3,"空仓观望",IF(N87&lt;5,"1-2成试探",IF(N87&lt;7,"3-5成正常参与",IF(N87&lt;9,"5-8成积极参与","3成以下防守")))))</f>
        <v/>
      </c>
    </row>
    <row r="88">
      <c r="C88">
        <f>IF(B88="","",IF(B88&lt;20,1.5,IF(B88&lt;40,3.5,IF(B88&lt;70,5.5,IF(B88&lt;100,7.5,9.5)))))</f>
        <v/>
      </c>
      <c r="E88">
        <f>IF(D88="","",IF(D88&lt;40,2,IF(D88&lt;55,4.5,IF(D88&lt;70,6.5,IF(D88&lt;85,8.5,10)))))</f>
        <v/>
      </c>
      <c r="G88">
        <f>IF(F88="","",IF(F88&lt;-5,1,IF(F88&lt;-2,2.5,IF(F88&lt;0,4.5,IF(F88&lt;3,6.5,IF(F88&lt;6,8.5,10))))))</f>
        <v/>
      </c>
      <c r="I88">
        <f>IF(H88="","",IF(H88&lt;2,1,IF(H88&lt;3,3,IF(H88&lt;4,5,IF(H88&lt;6,7,IF(H88&lt;8,8,9.5))))))</f>
        <v/>
      </c>
      <c r="K88">
        <f>IF(J88="","",IF(J88&lt;0.3,1,IF(J88&lt;0.6,2.5,IF(J88&lt;1,4.5,IF(J88&lt;2,6.5,IF(J88&lt;3,8.5,10))))))</f>
        <v/>
      </c>
      <c r="M88">
        <f>IF(L88="","",IF(L88&gt;30,1,IF(L88&gt;20,2.5,IF(L88&gt;10,4.5,IF(L88&gt;5,6.5,IF(L88&gt;0,8.5,10))))))</f>
        <v/>
      </c>
      <c r="N88">
        <f>IF(C88="","",ROUND(C88*0.15+E88*0.15+G88*0.25+I88*0.15+K88*0.15+M88*0.15,1))</f>
        <v/>
      </c>
      <c r="O88">
        <f>IF(N88="","",IF(N88&lt;3,"冰点期",IF(N88&lt;5,"退潮/修复期",IF(N88&lt;7,"回暖/上升期",IF(N88&lt;9,"高潮期","极度亢奋")))))</f>
        <v/>
      </c>
      <c r="P88">
        <f>IF(N88="","",IF(N88&lt;3,"空仓观望",IF(N88&lt;5,"1-2成试探",IF(N88&lt;7,"3-5成正常参与",IF(N88&lt;9,"5-8成积极参与","3成以下防守")))))</f>
        <v/>
      </c>
    </row>
    <row r="89">
      <c r="C89">
        <f>IF(B89="","",IF(B89&lt;20,1.5,IF(B89&lt;40,3.5,IF(B89&lt;70,5.5,IF(B89&lt;100,7.5,9.5)))))</f>
        <v/>
      </c>
      <c r="E89">
        <f>IF(D89="","",IF(D89&lt;40,2,IF(D89&lt;55,4.5,IF(D89&lt;70,6.5,IF(D89&lt;85,8.5,10)))))</f>
        <v/>
      </c>
      <c r="G89">
        <f>IF(F89="","",IF(F89&lt;-5,1,IF(F89&lt;-2,2.5,IF(F89&lt;0,4.5,IF(F89&lt;3,6.5,IF(F89&lt;6,8.5,10))))))</f>
        <v/>
      </c>
      <c r="I89">
        <f>IF(H89="","",IF(H89&lt;2,1,IF(H89&lt;3,3,IF(H89&lt;4,5,IF(H89&lt;6,7,IF(H89&lt;8,8,9.5))))))</f>
        <v/>
      </c>
      <c r="K89">
        <f>IF(J89="","",IF(J89&lt;0.3,1,IF(J89&lt;0.6,2.5,IF(J89&lt;1,4.5,IF(J89&lt;2,6.5,IF(J89&lt;3,8.5,10))))))</f>
        <v/>
      </c>
      <c r="M89">
        <f>IF(L89="","",IF(L89&gt;30,1,IF(L89&gt;20,2.5,IF(L89&gt;10,4.5,IF(L89&gt;5,6.5,IF(L89&gt;0,8.5,10))))))</f>
        <v/>
      </c>
      <c r="N89">
        <f>IF(C89="","",ROUND(C89*0.15+E89*0.15+G89*0.25+I89*0.15+K89*0.15+M89*0.15,1))</f>
        <v/>
      </c>
      <c r="O89">
        <f>IF(N89="","",IF(N89&lt;3,"冰点期",IF(N89&lt;5,"退潮/修复期",IF(N89&lt;7,"回暖/上升期",IF(N89&lt;9,"高潮期","极度亢奋")))))</f>
        <v/>
      </c>
      <c r="P89">
        <f>IF(N89="","",IF(N89&lt;3,"空仓观望",IF(N89&lt;5,"1-2成试探",IF(N89&lt;7,"3-5成正常参与",IF(N89&lt;9,"5-8成积极参与","3成以下防守")))))</f>
        <v/>
      </c>
    </row>
    <row r="90">
      <c r="C90">
        <f>IF(B90="","",IF(B90&lt;20,1.5,IF(B90&lt;40,3.5,IF(B90&lt;70,5.5,IF(B90&lt;100,7.5,9.5)))))</f>
        <v/>
      </c>
      <c r="E90">
        <f>IF(D90="","",IF(D90&lt;40,2,IF(D90&lt;55,4.5,IF(D90&lt;70,6.5,IF(D90&lt;85,8.5,10)))))</f>
        <v/>
      </c>
      <c r="G90">
        <f>IF(F90="","",IF(F90&lt;-5,1,IF(F90&lt;-2,2.5,IF(F90&lt;0,4.5,IF(F90&lt;3,6.5,IF(F90&lt;6,8.5,10))))))</f>
        <v/>
      </c>
      <c r="I90">
        <f>IF(H90="","",IF(H90&lt;2,1,IF(H90&lt;3,3,IF(H90&lt;4,5,IF(H90&lt;6,7,IF(H90&lt;8,8,9.5))))))</f>
        <v/>
      </c>
      <c r="K90">
        <f>IF(J90="","",IF(J90&lt;0.3,1,IF(J90&lt;0.6,2.5,IF(J90&lt;1,4.5,IF(J90&lt;2,6.5,IF(J90&lt;3,8.5,10))))))</f>
        <v/>
      </c>
      <c r="M90">
        <f>IF(L90="","",IF(L90&gt;30,1,IF(L90&gt;20,2.5,IF(L90&gt;10,4.5,IF(L90&gt;5,6.5,IF(L90&gt;0,8.5,10))))))</f>
        <v/>
      </c>
      <c r="N90">
        <f>IF(C90="","",ROUND(C90*0.15+E90*0.15+G90*0.25+I90*0.15+K90*0.15+M90*0.15,1))</f>
        <v/>
      </c>
      <c r="O90">
        <f>IF(N90="","",IF(N90&lt;3,"冰点期",IF(N90&lt;5,"退潮/修复期",IF(N90&lt;7,"回暖/上升期",IF(N90&lt;9,"高潮期","极度亢奋")))))</f>
        <v/>
      </c>
      <c r="P90">
        <f>IF(N90="","",IF(N90&lt;3,"空仓观望",IF(N90&lt;5,"1-2成试探",IF(N90&lt;7,"3-5成正常参与",IF(N90&lt;9,"5-8成积极参与","3成以下防守")))))</f>
        <v/>
      </c>
    </row>
    <row r="91">
      <c r="C91">
        <f>IF(B91="","",IF(B91&lt;20,1.5,IF(B91&lt;40,3.5,IF(B91&lt;70,5.5,IF(B91&lt;100,7.5,9.5)))))</f>
        <v/>
      </c>
      <c r="E91">
        <f>IF(D91="","",IF(D91&lt;40,2,IF(D91&lt;55,4.5,IF(D91&lt;70,6.5,IF(D91&lt;85,8.5,10)))))</f>
        <v/>
      </c>
      <c r="G91">
        <f>IF(F91="","",IF(F91&lt;-5,1,IF(F91&lt;-2,2.5,IF(F91&lt;0,4.5,IF(F91&lt;3,6.5,IF(F91&lt;6,8.5,10))))))</f>
        <v/>
      </c>
      <c r="I91">
        <f>IF(H91="","",IF(H91&lt;2,1,IF(H91&lt;3,3,IF(H91&lt;4,5,IF(H91&lt;6,7,IF(H91&lt;8,8,9.5))))))</f>
        <v/>
      </c>
      <c r="K91">
        <f>IF(J91="","",IF(J91&lt;0.3,1,IF(J91&lt;0.6,2.5,IF(J91&lt;1,4.5,IF(J91&lt;2,6.5,IF(J91&lt;3,8.5,10))))))</f>
        <v/>
      </c>
      <c r="M91">
        <f>IF(L91="","",IF(L91&gt;30,1,IF(L91&gt;20,2.5,IF(L91&gt;10,4.5,IF(L91&gt;5,6.5,IF(L91&gt;0,8.5,10))))))</f>
        <v/>
      </c>
      <c r="N91">
        <f>IF(C91="","",ROUND(C91*0.15+E91*0.15+G91*0.25+I91*0.15+K91*0.15+M91*0.15,1))</f>
        <v/>
      </c>
      <c r="O91">
        <f>IF(N91="","",IF(N91&lt;3,"冰点期",IF(N91&lt;5,"退潮/修复期",IF(N91&lt;7,"回暖/上升期",IF(N91&lt;9,"高潮期","极度亢奋")))))</f>
        <v/>
      </c>
      <c r="P91">
        <f>IF(N91="","",IF(N91&lt;3,"空仓观望",IF(N91&lt;5,"1-2成试探",IF(N91&lt;7,"3-5成正常参与",IF(N91&lt;9,"5-8成积极参与","3成以下防守")))))</f>
        <v/>
      </c>
    </row>
    <row r="92">
      <c r="C92">
        <f>IF(B92="","",IF(B92&lt;20,1.5,IF(B92&lt;40,3.5,IF(B92&lt;70,5.5,IF(B92&lt;100,7.5,9.5)))))</f>
        <v/>
      </c>
      <c r="E92">
        <f>IF(D92="","",IF(D92&lt;40,2,IF(D92&lt;55,4.5,IF(D92&lt;70,6.5,IF(D92&lt;85,8.5,10)))))</f>
        <v/>
      </c>
      <c r="G92">
        <f>IF(F92="","",IF(F92&lt;-5,1,IF(F92&lt;-2,2.5,IF(F92&lt;0,4.5,IF(F92&lt;3,6.5,IF(F92&lt;6,8.5,10))))))</f>
        <v/>
      </c>
      <c r="I92">
        <f>IF(H92="","",IF(H92&lt;2,1,IF(H92&lt;3,3,IF(H92&lt;4,5,IF(H92&lt;6,7,IF(H92&lt;8,8,9.5))))))</f>
        <v/>
      </c>
      <c r="K92">
        <f>IF(J92="","",IF(J92&lt;0.3,1,IF(J92&lt;0.6,2.5,IF(J92&lt;1,4.5,IF(J92&lt;2,6.5,IF(J92&lt;3,8.5,10))))))</f>
        <v/>
      </c>
      <c r="M92">
        <f>IF(L92="","",IF(L92&gt;30,1,IF(L92&gt;20,2.5,IF(L92&gt;10,4.5,IF(L92&gt;5,6.5,IF(L92&gt;0,8.5,10))))))</f>
        <v/>
      </c>
      <c r="N92">
        <f>IF(C92="","",ROUND(C92*0.15+E92*0.15+G92*0.25+I92*0.15+K92*0.15+M92*0.15,1))</f>
        <v/>
      </c>
      <c r="O92">
        <f>IF(N92="","",IF(N92&lt;3,"冰点期",IF(N92&lt;5,"退潮/修复期",IF(N92&lt;7,"回暖/上升期",IF(N92&lt;9,"高潮期","极度亢奋")))))</f>
        <v/>
      </c>
      <c r="P92">
        <f>IF(N92="","",IF(N92&lt;3,"空仓观望",IF(N92&lt;5,"1-2成试探",IF(N92&lt;7,"3-5成正常参与",IF(N92&lt;9,"5-8成积极参与","3成以下防守")))))</f>
        <v/>
      </c>
    </row>
    <row r="93">
      <c r="C93">
        <f>IF(B93="","",IF(B93&lt;20,1.5,IF(B93&lt;40,3.5,IF(B93&lt;70,5.5,IF(B93&lt;100,7.5,9.5)))))</f>
        <v/>
      </c>
      <c r="E93">
        <f>IF(D93="","",IF(D93&lt;40,2,IF(D93&lt;55,4.5,IF(D93&lt;70,6.5,IF(D93&lt;85,8.5,10)))))</f>
        <v/>
      </c>
      <c r="G93">
        <f>IF(F93="","",IF(F93&lt;-5,1,IF(F93&lt;-2,2.5,IF(F93&lt;0,4.5,IF(F93&lt;3,6.5,IF(F93&lt;6,8.5,10))))))</f>
        <v/>
      </c>
      <c r="I93">
        <f>IF(H93="","",IF(H93&lt;2,1,IF(H93&lt;3,3,IF(H93&lt;4,5,IF(H93&lt;6,7,IF(H93&lt;8,8,9.5))))))</f>
        <v/>
      </c>
      <c r="K93">
        <f>IF(J93="","",IF(J93&lt;0.3,1,IF(J93&lt;0.6,2.5,IF(J93&lt;1,4.5,IF(J93&lt;2,6.5,IF(J93&lt;3,8.5,10))))))</f>
        <v/>
      </c>
      <c r="M93">
        <f>IF(L93="","",IF(L93&gt;30,1,IF(L93&gt;20,2.5,IF(L93&gt;10,4.5,IF(L93&gt;5,6.5,IF(L93&gt;0,8.5,10))))))</f>
        <v/>
      </c>
      <c r="N93">
        <f>IF(C93="","",ROUND(C93*0.15+E93*0.15+G93*0.25+I93*0.15+K93*0.15+M93*0.15,1))</f>
        <v/>
      </c>
      <c r="O93">
        <f>IF(N93="","",IF(N93&lt;3,"冰点期",IF(N93&lt;5,"退潮/修复期",IF(N93&lt;7,"回暖/上升期",IF(N93&lt;9,"高潮期","极度亢奋")))))</f>
        <v/>
      </c>
      <c r="P93">
        <f>IF(N93="","",IF(N93&lt;3,"空仓观望",IF(N93&lt;5,"1-2成试探",IF(N93&lt;7,"3-5成正常参与",IF(N93&lt;9,"5-8成积极参与","3成以下防守")))))</f>
        <v/>
      </c>
    </row>
    <row r="94">
      <c r="C94">
        <f>IF(B94="","",IF(B94&lt;20,1.5,IF(B94&lt;40,3.5,IF(B94&lt;70,5.5,IF(B94&lt;100,7.5,9.5)))))</f>
        <v/>
      </c>
      <c r="E94">
        <f>IF(D94="","",IF(D94&lt;40,2,IF(D94&lt;55,4.5,IF(D94&lt;70,6.5,IF(D94&lt;85,8.5,10)))))</f>
        <v/>
      </c>
      <c r="G94">
        <f>IF(F94="","",IF(F94&lt;-5,1,IF(F94&lt;-2,2.5,IF(F94&lt;0,4.5,IF(F94&lt;3,6.5,IF(F94&lt;6,8.5,10))))))</f>
        <v/>
      </c>
      <c r="I94">
        <f>IF(H94="","",IF(H94&lt;2,1,IF(H94&lt;3,3,IF(H94&lt;4,5,IF(H94&lt;6,7,IF(H94&lt;8,8,9.5))))))</f>
        <v/>
      </c>
      <c r="K94">
        <f>IF(J94="","",IF(J94&lt;0.3,1,IF(J94&lt;0.6,2.5,IF(J94&lt;1,4.5,IF(J94&lt;2,6.5,IF(J94&lt;3,8.5,10))))))</f>
        <v/>
      </c>
      <c r="M94">
        <f>IF(L94="","",IF(L94&gt;30,1,IF(L94&gt;20,2.5,IF(L94&gt;10,4.5,IF(L94&gt;5,6.5,IF(L94&gt;0,8.5,10))))))</f>
        <v/>
      </c>
      <c r="N94">
        <f>IF(C94="","",ROUND(C94*0.15+E94*0.15+G94*0.25+I94*0.15+K94*0.15+M94*0.15,1))</f>
        <v/>
      </c>
      <c r="O94">
        <f>IF(N94="","",IF(N94&lt;3,"冰点期",IF(N94&lt;5,"退潮/修复期",IF(N94&lt;7,"回暖/上升期",IF(N94&lt;9,"高潮期","极度亢奋")))))</f>
        <v/>
      </c>
      <c r="P94">
        <f>IF(N94="","",IF(N94&lt;3,"空仓观望",IF(N94&lt;5,"1-2成试探",IF(N94&lt;7,"3-5成正常参与",IF(N94&lt;9,"5-8成积极参与","3成以下防守")))))</f>
        <v/>
      </c>
    </row>
    <row r="95">
      <c r="C95">
        <f>IF(B95="","",IF(B95&lt;20,1.5,IF(B95&lt;40,3.5,IF(B95&lt;70,5.5,IF(B95&lt;100,7.5,9.5)))))</f>
        <v/>
      </c>
      <c r="E95">
        <f>IF(D95="","",IF(D95&lt;40,2,IF(D95&lt;55,4.5,IF(D95&lt;70,6.5,IF(D95&lt;85,8.5,10)))))</f>
        <v/>
      </c>
      <c r="G95">
        <f>IF(F95="","",IF(F95&lt;-5,1,IF(F95&lt;-2,2.5,IF(F95&lt;0,4.5,IF(F95&lt;3,6.5,IF(F95&lt;6,8.5,10))))))</f>
        <v/>
      </c>
      <c r="I95">
        <f>IF(H95="","",IF(H95&lt;2,1,IF(H95&lt;3,3,IF(H95&lt;4,5,IF(H95&lt;6,7,IF(H95&lt;8,8,9.5))))))</f>
        <v/>
      </c>
      <c r="K95">
        <f>IF(J95="","",IF(J95&lt;0.3,1,IF(J95&lt;0.6,2.5,IF(J95&lt;1,4.5,IF(J95&lt;2,6.5,IF(J95&lt;3,8.5,10))))))</f>
        <v/>
      </c>
      <c r="M95">
        <f>IF(L95="","",IF(L95&gt;30,1,IF(L95&gt;20,2.5,IF(L95&gt;10,4.5,IF(L95&gt;5,6.5,IF(L95&gt;0,8.5,10))))))</f>
        <v/>
      </c>
      <c r="N95">
        <f>IF(C95="","",ROUND(C95*0.15+E95*0.15+G95*0.25+I95*0.15+K95*0.15+M95*0.15,1))</f>
        <v/>
      </c>
      <c r="O95">
        <f>IF(N95="","",IF(N95&lt;3,"冰点期",IF(N95&lt;5,"退潮/修复期",IF(N95&lt;7,"回暖/上升期",IF(N95&lt;9,"高潮期","极度亢奋")))))</f>
        <v/>
      </c>
      <c r="P95">
        <f>IF(N95="","",IF(N95&lt;3,"空仓观望",IF(N95&lt;5,"1-2成试探",IF(N95&lt;7,"3-5成正常参与",IF(N95&lt;9,"5-8成积极参与","3成以下防守")))))</f>
        <v/>
      </c>
    </row>
    <row r="96">
      <c r="C96">
        <f>IF(B96="","",IF(B96&lt;20,1.5,IF(B96&lt;40,3.5,IF(B96&lt;70,5.5,IF(B96&lt;100,7.5,9.5)))))</f>
        <v/>
      </c>
      <c r="E96">
        <f>IF(D96="","",IF(D96&lt;40,2,IF(D96&lt;55,4.5,IF(D96&lt;70,6.5,IF(D96&lt;85,8.5,10)))))</f>
        <v/>
      </c>
      <c r="G96">
        <f>IF(F96="","",IF(F96&lt;-5,1,IF(F96&lt;-2,2.5,IF(F96&lt;0,4.5,IF(F96&lt;3,6.5,IF(F96&lt;6,8.5,10))))))</f>
        <v/>
      </c>
      <c r="I96">
        <f>IF(H96="","",IF(H96&lt;2,1,IF(H96&lt;3,3,IF(H96&lt;4,5,IF(H96&lt;6,7,IF(H96&lt;8,8,9.5))))))</f>
        <v/>
      </c>
      <c r="K96">
        <f>IF(J96="","",IF(J96&lt;0.3,1,IF(J96&lt;0.6,2.5,IF(J96&lt;1,4.5,IF(J96&lt;2,6.5,IF(J96&lt;3,8.5,10))))))</f>
        <v/>
      </c>
      <c r="M96">
        <f>IF(L96="","",IF(L96&gt;30,1,IF(L96&gt;20,2.5,IF(L96&gt;10,4.5,IF(L96&gt;5,6.5,IF(L96&gt;0,8.5,10))))))</f>
        <v/>
      </c>
      <c r="N96">
        <f>IF(C96="","",ROUND(C96*0.15+E96*0.15+G96*0.25+I96*0.15+K96*0.15+M96*0.15,1))</f>
        <v/>
      </c>
      <c r="O96">
        <f>IF(N96="","",IF(N96&lt;3,"冰点期",IF(N96&lt;5,"退潮/修复期",IF(N96&lt;7,"回暖/上升期",IF(N96&lt;9,"高潮期","极度亢奋")))))</f>
        <v/>
      </c>
      <c r="P96">
        <f>IF(N96="","",IF(N96&lt;3,"空仓观望",IF(N96&lt;5,"1-2成试探",IF(N96&lt;7,"3-5成正常参与",IF(N96&lt;9,"5-8成积极参与","3成以下防守")))))</f>
        <v/>
      </c>
    </row>
    <row r="97">
      <c r="C97">
        <f>IF(B97="","",IF(B97&lt;20,1.5,IF(B97&lt;40,3.5,IF(B97&lt;70,5.5,IF(B97&lt;100,7.5,9.5)))))</f>
        <v/>
      </c>
      <c r="E97">
        <f>IF(D97="","",IF(D97&lt;40,2,IF(D97&lt;55,4.5,IF(D97&lt;70,6.5,IF(D97&lt;85,8.5,10)))))</f>
        <v/>
      </c>
      <c r="G97">
        <f>IF(F97="","",IF(F97&lt;-5,1,IF(F97&lt;-2,2.5,IF(F97&lt;0,4.5,IF(F97&lt;3,6.5,IF(F97&lt;6,8.5,10))))))</f>
        <v/>
      </c>
      <c r="I97">
        <f>IF(H97="","",IF(H97&lt;2,1,IF(H97&lt;3,3,IF(H97&lt;4,5,IF(H97&lt;6,7,IF(H97&lt;8,8,9.5))))))</f>
        <v/>
      </c>
      <c r="K97">
        <f>IF(J97="","",IF(J97&lt;0.3,1,IF(J97&lt;0.6,2.5,IF(J97&lt;1,4.5,IF(J97&lt;2,6.5,IF(J97&lt;3,8.5,10))))))</f>
        <v/>
      </c>
      <c r="M97">
        <f>IF(L97="","",IF(L97&gt;30,1,IF(L97&gt;20,2.5,IF(L97&gt;10,4.5,IF(L97&gt;5,6.5,IF(L97&gt;0,8.5,10))))))</f>
        <v/>
      </c>
      <c r="N97">
        <f>IF(C97="","",ROUND(C97*0.15+E97*0.15+G97*0.25+I97*0.15+K97*0.15+M97*0.15,1))</f>
        <v/>
      </c>
      <c r="O97">
        <f>IF(N97="","",IF(N97&lt;3,"冰点期",IF(N97&lt;5,"退潮/修复期",IF(N97&lt;7,"回暖/上升期",IF(N97&lt;9,"高潮期","极度亢奋")))))</f>
        <v/>
      </c>
      <c r="P97">
        <f>IF(N97="","",IF(N97&lt;3,"空仓观望",IF(N97&lt;5,"1-2成试探",IF(N97&lt;7,"3-5成正常参与",IF(N97&lt;9,"5-8成积极参与","3成以下防守")))))</f>
        <v/>
      </c>
    </row>
    <row r="98">
      <c r="C98">
        <f>IF(B98="","",IF(B98&lt;20,1.5,IF(B98&lt;40,3.5,IF(B98&lt;70,5.5,IF(B98&lt;100,7.5,9.5)))))</f>
        <v/>
      </c>
      <c r="E98">
        <f>IF(D98="","",IF(D98&lt;40,2,IF(D98&lt;55,4.5,IF(D98&lt;70,6.5,IF(D98&lt;85,8.5,10)))))</f>
        <v/>
      </c>
      <c r="G98">
        <f>IF(F98="","",IF(F98&lt;-5,1,IF(F98&lt;-2,2.5,IF(F98&lt;0,4.5,IF(F98&lt;3,6.5,IF(F98&lt;6,8.5,10))))))</f>
        <v/>
      </c>
      <c r="I98">
        <f>IF(H98="","",IF(H98&lt;2,1,IF(H98&lt;3,3,IF(H98&lt;4,5,IF(H98&lt;6,7,IF(H98&lt;8,8,9.5))))))</f>
        <v/>
      </c>
      <c r="K98">
        <f>IF(J98="","",IF(J98&lt;0.3,1,IF(J98&lt;0.6,2.5,IF(J98&lt;1,4.5,IF(J98&lt;2,6.5,IF(J98&lt;3,8.5,10))))))</f>
        <v/>
      </c>
      <c r="M98">
        <f>IF(L98="","",IF(L98&gt;30,1,IF(L98&gt;20,2.5,IF(L98&gt;10,4.5,IF(L98&gt;5,6.5,IF(L98&gt;0,8.5,10))))))</f>
        <v/>
      </c>
      <c r="N98">
        <f>IF(C98="","",ROUND(C98*0.15+E98*0.15+G98*0.25+I98*0.15+K98*0.15+M98*0.15,1))</f>
        <v/>
      </c>
      <c r="O98">
        <f>IF(N98="","",IF(N98&lt;3,"冰点期",IF(N98&lt;5,"退潮/修复期",IF(N98&lt;7,"回暖/上升期",IF(N98&lt;9,"高潮期","极度亢奋")))))</f>
        <v/>
      </c>
      <c r="P98">
        <f>IF(N98="","",IF(N98&lt;3,"空仓观望",IF(N98&lt;5,"1-2成试探",IF(N98&lt;7,"3-5成正常参与",IF(N98&lt;9,"5-8成积极参与","3成以下防守")))))</f>
        <v/>
      </c>
    </row>
    <row r="99">
      <c r="C99">
        <f>IF(B99="","",IF(B99&lt;20,1.5,IF(B99&lt;40,3.5,IF(B99&lt;70,5.5,IF(B99&lt;100,7.5,9.5)))))</f>
        <v/>
      </c>
      <c r="E99">
        <f>IF(D99="","",IF(D99&lt;40,2,IF(D99&lt;55,4.5,IF(D99&lt;70,6.5,IF(D99&lt;85,8.5,10)))))</f>
        <v/>
      </c>
      <c r="G99">
        <f>IF(F99="","",IF(F99&lt;-5,1,IF(F99&lt;-2,2.5,IF(F99&lt;0,4.5,IF(F99&lt;3,6.5,IF(F99&lt;6,8.5,10))))))</f>
        <v/>
      </c>
      <c r="I99">
        <f>IF(H99="","",IF(H99&lt;2,1,IF(H99&lt;3,3,IF(H99&lt;4,5,IF(H99&lt;6,7,IF(H99&lt;8,8,9.5))))))</f>
        <v/>
      </c>
      <c r="K99">
        <f>IF(J99="","",IF(J99&lt;0.3,1,IF(J99&lt;0.6,2.5,IF(J99&lt;1,4.5,IF(J99&lt;2,6.5,IF(J99&lt;3,8.5,10))))))</f>
        <v/>
      </c>
      <c r="M99">
        <f>IF(L99="","",IF(L99&gt;30,1,IF(L99&gt;20,2.5,IF(L99&gt;10,4.5,IF(L99&gt;5,6.5,IF(L99&gt;0,8.5,10))))))</f>
        <v/>
      </c>
      <c r="N99">
        <f>IF(C99="","",ROUND(C99*0.15+E99*0.15+G99*0.25+I99*0.15+K99*0.15+M99*0.15,1))</f>
        <v/>
      </c>
      <c r="O99">
        <f>IF(N99="","",IF(N99&lt;3,"冰点期",IF(N99&lt;5,"退潮/修复期",IF(N99&lt;7,"回暖/上升期",IF(N99&lt;9,"高潮期","极度亢奋")))))</f>
        <v/>
      </c>
      <c r="P99">
        <f>IF(N99="","",IF(N99&lt;3,"空仓观望",IF(N99&lt;5,"1-2成试探",IF(N99&lt;7,"3-5成正常参与",IF(N99&lt;9,"5-8成积极参与","3成以下防守")))))</f>
        <v/>
      </c>
    </row>
    <row r="100">
      <c r="C100">
        <f>IF(B100="","",IF(B100&lt;20,1.5,IF(B100&lt;40,3.5,IF(B100&lt;70,5.5,IF(B100&lt;100,7.5,9.5)))))</f>
        <v/>
      </c>
      <c r="E100">
        <f>IF(D100="","",IF(D100&lt;40,2,IF(D100&lt;55,4.5,IF(D100&lt;70,6.5,IF(D100&lt;85,8.5,10)))))</f>
        <v/>
      </c>
      <c r="G100">
        <f>IF(F100="","",IF(F100&lt;-5,1,IF(F100&lt;-2,2.5,IF(F100&lt;0,4.5,IF(F100&lt;3,6.5,IF(F100&lt;6,8.5,10))))))</f>
        <v/>
      </c>
      <c r="I100">
        <f>IF(H100="","",IF(H100&lt;2,1,IF(H100&lt;3,3,IF(H100&lt;4,5,IF(H100&lt;6,7,IF(H100&lt;8,8,9.5))))))</f>
        <v/>
      </c>
      <c r="K100">
        <f>IF(J100="","",IF(J100&lt;0.3,1,IF(J100&lt;0.6,2.5,IF(J100&lt;1,4.5,IF(J100&lt;2,6.5,IF(J100&lt;3,8.5,10))))))</f>
        <v/>
      </c>
      <c r="M100">
        <f>IF(L100="","",IF(L100&gt;30,1,IF(L100&gt;20,2.5,IF(L100&gt;10,4.5,IF(L100&gt;5,6.5,IF(L100&gt;0,8.5,10))))))</f>
        <v/>
      </c>
      <c r="N100">
        <f>IF(C100="","",ROUND(C100*0.15+E100*0.15+G100*0.25+I100*0.15+K100*0.15+M100*0.15,1))</f>
        <v/>
      </c>
      <c r="O100">
        <f>IF(N100="","",IF(N100&lt;3,"冰点期",IF(N100&lt;5,"退潮/修复期",IF(N100&lt;7,"回暖/上升期",IF(N100&lt;9,"高潮期","极度亢奋")))))</f>
        <v/>
      </c>
      <c r="P100">
        <f>IF(N100="","",IF(N100&lt;3,"空仓观望",IF(N100&lt;5,"1-2成试探",IF(N100&lt;7,"3-5成正常参与",IF(N100&lt;9,"5-8成积极参与","3成以下防守")))))</f>
        <v/>
      </c>
    </row>
    <row r="101">
      <c r="C101">
        <f>IF(B101="","",IF(B101&lt;20,1.5,IF(B101&lt;40,3.5,IF(B101&lt;70,5.5,IF(B101&lt;100,7.5,9.5)))))</f>
        <v/>
      </c>
      <c r="E101">
        <f>IF(D101="","",IF(D101&lt;40,2,IF(D101&lt;55,4.5,IF(D101&lt;70,6.5,IF(D101&lt;85,8.5,10)))))</f>
        <v/>
      </c>
      <c r="G101">
        <f>IF(F101="","",IF(F101&lt;-5,1,IF(F101&lt;-2,2.5,IF(F101&lt;0,4.5,IF(F101&lt;3,6.5,IF(F101&lt;6,8.5,10))))))</f>
        <v/>
      </c>
      <c r="I101">
        <f>IF(H101="","",IF(H101&lt;2,1,IF(H101&lt;3,3,IF(H101&lt;4,5,IF(H101&lt;6,7,IF(H101&lt;8,8,9.5))))))</f>
        <v/>
      </c>
      <c r="K101">
        <f>IF(J101="","",IF(J101&lt;0.3,1,IF(J101&lt;0.6,2.5,IF(J101&lt;1,4.5,IF(J101&lt;2,6.5,IF(J101&lt;3,8.5,10))))))</f>
        <v/>
      </c>
      <c r="M101">
        <f>IF(L101="","",IF(L101&gt;30,1,IF(L101&gt;20,2.5,IF(L101&gt;10,4.5,IF(L101&gt;5,6.5,IF(L101&gt;0,8.5,10))))))</f>
        <v/>
      </c>
      <c r="N101">
        <f>IF(C101="","",ROUND(C101*0.15+E101*0.15+G101*0.25+I101*0.15+K101*0.15+M101*0.15,1))</f>
        <v/>
      </c>
      <c r="O101">
        <f>IF(N101="","",IF(N101&lt;3,"冰点期",IF(N101&lt;5,"退潮/修复期",IF(N101&lt;7,"回暖/上升期",IF(N101&lt;9,"高潮期","极度亢奋")))))</f>
        <v/>
      </c>
      <c r="P101">
        <f>IF(N101="","",IF(N101&lt;3,"空仓观望",IF(N101&lt;5,"1-2成试探",IF(N101&lt;7,"3-5成正常参与",IF(N101&lt;9,"5-8成积极参与","3成以下防守")))))</f>
        <v/>
      </c>
    </row>
    <row r="102">
      <c r="C102">
        <f>IF(B102="","",IF(B102&lt;20,1.5,IF(B102&lt;40,3.5,IF(B102&lt;70,5.5,IF(B102&lt;100,7.5,9.5)))))</f>
        <v/>
      </c>
      <c r="E102">
        <f>IF(D102="","",IF(D102&lt;40,2,IF(D102&lt;55,4.5,IF(D102&lt;70,6.5,IF(D102&lt;85,8.5,10)))))</f>
        <v/>
      </c>
      <c r="G102">
        <f>IF(F102="","",IF(F102&lt;-5,1,IF(F102&lt;-2,2.5,IF(F102&lt;0,4.5,IF(F102&lt;3,6.5,IF(F102&lt;6,8.5,10))))))</f>
        <v/>
      </c>
      <c r="I102">
        <f>IF(H102="","",IF(H102&lt;2,1,IF(H102&lt;3,3,IF(H102&lt;4,5,IF(H102&lt;6,7,IF(H102&lt;8,8,9.5))))))</f>
        <v/>
      </c>
      <c r="K102">
        <f>IF(J102="","",IF(J102&lt;0.3,1,IF(J102&lt;0.6,2.5,IF(J102&lt;1,4.5,IF(J102&lt;2,6.5,IF(J102&lt;3,8.5,10))))))</f>
        <v/>
      </c>
      <c r="M102">
        <f>IF(L102="","",IF(L102&gt;30,1,IF(L102&gt;20,2.5,IF(L102&gt;10,4.5,IF(L102&gt;5,6.5,IF(L102&gt;0,8.5,10))))))</f>
        <v/>
      </c>
      <c r="N102">
        <f>IF(C102="","",ROUND(C102*0.15+E102*0.15+G102*0.25+I102*0.15+K102*0.15+M102*0.15,1))</f>
        <v/>
      </c>
      <c r="O102">
        <f>IF(N102="","",IF(N102&lt;3,"冰点期",IF(N102&lt;5,"退潮/修复期",IF(N102&lt;7,"回暖/上升期",IF(N102&lt;9,"高潮期","极度亢奋")))))</f>
        <v/>
      </c>
      <c r="P102">
        <f>IF(N102="","",IF(N102&lt;3,"空仓观望",IF(N102&lt;5,"1-2成试探",IF(N102&lt;7,"3-5成正常参与",IF(N102&lt;9,"5-8成积极参与","3成以下防守")))))</f>
        <v/>
      </c>
    </row>
    <row r="103">
      <c r="C103">
        <f>IF(B103="","",IF(B103&lt;20,1.5,IF(B103&lt;40,3.5,IF(B103&lt;70,5.5,IF(B103&lt;100,7.5,9.5)))))</f>
        <v/>
      </c>
      <c r="E103">
        <f>IF(D103="","",IF(D103&lt;40,2,IF(D103&lt;55,4.5,IF(D103&lt;70,6.5,IF(D103&lt;85,8.5,10)))))</f>
        <v/>
      </c>
      <c r="G103">
        <f>IF(F103="","",IF(F103&lt;-5,1,IF(F103&lt;-2,2.5,IF(F103&lt;0,4.5,IF(F103&lt;3,6.5,IF(F103&lt;6,8.5,10))))))</f>
        <v/>
      </c>
      <c r="I103">
        <f>IF(H103="","",IF(H103&lt;2,1,IF(H103&lt;3,3,IF(H103&lt;4,5,IF(H103&lt;6,7,IF(H103&lt;8,8,9.5))))))</f>
        <v/>
      </c>
      <c r="K103">
        <f>IF(J103="","",IF(J103&lt;0.3,1,IF(J103&lt;0.6,2.5,IF(J103&lt;1,4.5,IF(J103&lt;2,6.5,IF(J103&lt;3,8.5,10))))))</f>
        <v/>
      </c>
      <c r="M103">
        <f>IF(L103="","",IF(L103&gt;30,1,IF(L103&gt;20,2.5,IF(L103&gt;10,4.5,IF(L103&gt;5,6.5,IF(L103&gt;0,8.5,10))))))</f>
        <v/>
      </c>
      <c r="N103">
        <f>IF(C103="","",ROUND(C103*0.15+E103*0.15+G103*0.25+I103*0.15+K103*0.15+M103*0.15,1))</f>
        <v/>
      </c>
      <c r="O103">
        <f>IF(N103="","",IF(N103&lt;3,"冰点期",IF(N103&lt;5,"退潮/修复期",IF(N103&lt;7,"回暖/上升期",IF(N103&lt;9,"高潮期","极度亢奋")))))</f>
        <v/>
      </c>
      <c r="P103">
        <f>IF(N103="","",IF(N103&lt;3,"空仓观望",IF(N103&lt;5,"1-2成试探",IF(N103&lt;7,"3-5成正常参与",IF(N103&lt;9,"5-8成积极参与","3成以下防守")))))</f>
        <v/>
      </c>
    </row>
    <row r="104">
      <c r="C104">
        <f>IF(B104="","",IF(B104&lt;20,1.5,IF(B104&lt;40,3.5,IF(B104&lt;70,5.5,IF(B104&lt;100,7.5,9.5)))))</f>
        <v/>
      </c>
      <c r="E104">
        <f>IF(D104="","",IF(D104&lt;40,2,IF(D104&lt;55,4.5,IF(D104&lt;70,6.5,IF(D104&lt;85,8.5,10)))))</f>
        <v/>
      </c>
      <c r="G104">
        <f>IF(F104="","",IF(F104&lt;-5,1,IF(F104&lt;-2,2.5,IF(F104&lt;0,4.5,IF(F104&lt;3,6.5,IF(F104&lt;6,8.5,10))))))</f>
        <v/>
      </c>
      <c r="I104">
        <f>IF(H104="","",IF(H104&lt;2,1,IF(H104&lt;3,3,IF(H104&lt;4,5,IF(H104&lt;6,7,IF(H104&lt;8,8,9.5))))))</f>
        <v/>
      </c>
      <c r="K104">
        <f>IF(J104="","",IF(J104&lt;0.3,1,IF(J104&lt;0.6,2.5,IF(J104&lt;1,4.5,IF(J104&lt;2,6.5,IF(J104&lt;3,8.5,10))))))</f>
        <v/>
      </c>
      <c r="M104">
        <f>IF(L104="","",IF(L104&gt;30,1,IF(L104&gt;20,2.5,IF(L104&gt;10,4.5,IF(L104&gt;5,6.5,IF(L104&gt;0,8.5,10))))))</f>
        <v/>
      </c>
      <c r="N104">
        <f>IF(C104="","",ROUND(C104*0.15+E104*0.15+G104*0.25+I104*0.15+K104*0.15+M104*0.15,1))</f>
        <v/>
      </c>
      <c r="O104">
        <f>IF(N104="","",IF(N104&lt;3,"冰点期",IF(N104&lt;5,"退潮/修复期",IF(N104&lt;7,"回暖/上升期",IF(N104&lt;9,"高潮期","极度亢奋")))))</f>
        <v/>
      </c>
      <c r="P104">
        <f>IF(N104="","",IF(N104&lt;3,"空仓观望",IF(N104&lt;5,"1-2成试探",IF(N104&lt;7,"3-5成正常参与",IF(N104&lt;9,"5-8成积极参与","3成以下防守")))))</f>
        <v/>
      </c>
    </row>
  </sheetData>
  <autoFilter ref="A1:P1"/>
  <conditionalFormatting sqref="N2:N104">
    <cfRule type="cellIs" priority="1" operator="lessThan" dxfId="0">
      <formula>3</formula>
    </cfRule>
    <cfRule type="cellIs" priority="2" operator="between" dxfId="0">
      <formula>3</formula>
      <formula>5</formula>
    </cfRule>
    <cfRule type="cellIs" priority="3" operator="between" dxfId="1">
      <formula>5</formula>
      <formula>7</formula>
    </cfRule>
    <cfRule type="cellIs" priority="4" operator="between" dxfId="2">
      <formula>7</formula>
      <formula>9</formula>
    </cfRule>
    <cfRule type="cellIs" priority="5" operator="greaterThanOrEqual" dxfId="3">
      <formula>9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2026-02-25T11:24:39Z</dcterms:created>
  <dcterms:modified xsi:type="dcterms:W3CDTF">2026-02-25T11:24:39Z</dcterms:modified>
</cp:coreProperties>
</file>